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atement Variance" sheetId="2" state="visible" r:id="rId2"/>
    <sheet xmlns:r="http://schemas.openxmlformats.org/officeDocument/2006/relationships" name="Balance Sheet Variance" sheetId="3" state="visible" r:id="rId3"/>
    <sheet xmlns:r="http://schemas.openxmlformats.org/officeDocument/2006/relationships" name="EPS Analysis" sheetId="4" state="visible" r:id="rId4"/>
    <sheet xmlns:r="http://schemas.openxmlformats.org/officeDocument/2006/relationships" name="YTD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$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MICROSOFT CORPORATION (MSFT)</t>
        </is>
      </c>
    </row>
    <row r="2">
      <c r="A2" t="inlineStr">
        <is>
          <t>Ticker: MSFT | CIK: 0000789019 | Sector: tech_software</t>
        </is>
      </c>
    </row>
    <row r="3">
      <c r="A3" t="inlineStr">
        <is>
          <t>Reporting Period: Q1 FY2026 through Q3 FY2026</t>
        </is>
      </c>
    </row>
    <row r="4">
      <c r="A4" t="inlineStr">
        <is>
          <t>Key Observation: Q3 FY2026 quarterly revenue increased by $1,613M (2.0%) sequentially from Q2, driven by strong performance across segments. Operating income grew 0.3% QoQ to $38.4B, while net income declined 17.4% QoQ due to higher tax or non-operating items.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INCOME STATEMENT VARIANCE ANALYSIS</t>
        </is>
      </c>
    </row>
    <row r="2">
      <c r="A2" t="inlineStr">
        <is>
          <t>($ in millions)</t>
        </is>
      </c>
    </row>
    <row r="4">
      <c r="A4" s="1" t="inlineStr">
        <is>
          <t>Metric</t>
        </is>
      </c>
      <c r="B4" s="1" t="inlineStr">
        <is>
          <t>Q2 FY2026</t>
        </is>
      </c>
      <c r="C4" s="1" t="inlineStr">
        <is>
          <t>Q3 FY2026</t>
        </is>
      </c>
      <c r="D4" s="1" t="inlineStr">
        <is>
          <t>Variance ($M)</t>
        </is>
      </c>
      <c r="E4" s="1" t="inlineStr">
        <is>
          <t>Variance (%)</t>
        </is>
      </c>
    </row>
    <row r="5">
      <c r="A5" s="2" t="inlineStr">
        <is>
          <t>Revenue</t>
        </is>
      </c>
      <c r="B5" s="3" t="n">
        <v>81273</v>
      </c>
      <c r="C5" s="3" t="n">
        <v>82886</v>
      </c>
      <c r="D5" s="3">
        <f>C5-B5</f>
        <v/>
      </c>
      <c r="E5" s="4">
        <f>D5/B5</f>
        <v/>
      </c>
    </row>
    <row r="6">
      <c r="A6" s="2" t="inlineStr">
        <is>
          <t>Cost of Goods &amp; Services Sold</t>
        </is>
      </c>
      <c r="B6" s="3" t="n">
        <v>25978</v>
      </c>
      <c r="C6" s="3" t="n">
        <v>26828</v>
      </c>
      <c r="D6" s="3">
        <f>C6-B6</f>
        <v/>
      </c>
      <c r="E6" s="4">
        <f>D6/B6</f>
        <v/>
      </c>
    </row>
    <row r="7">
      <c r="A7" s="2" t="inlineStr">
        <is>
          <t>Gross Profit</t>
        </is>
      </c>
      <c r="B7" s="3" t="n">
        <v>55295</v>
      </c>
      <c r="C7" s="3" t="n">
        <v>56058</v>
      </c>
      <c r="D7" s="3">
        <f>C7-B7</f>
        <v/>
      </c>
      <c r="E7" s="4">
        <f>D7/B7</f>
        <v/>
      </c>
    </row>
    <row r="8">
      <c r="A8" s="2" t="inlineStr">
        <is>
          <t>Operating Income</t>
        </is>
      </c>
      <c r="B8" s="3" t="n">
        <v>38275</v>
      </c>
      <c r="C8" s="3" t="n">
        <v>38398</v>
      </c>
      <c r="D8" s="3">
        <f>C8-B8</f>
        <v/>
      </c>
      <c r="E8" s="4">
        <f>D8/B8</f>
        <v/>
      </c>
    </row>
    <row r="9">
      <c r="A9" s="2" t="inlineStr">
        <is>
          <t>Net Income</t>
        </is>
      </c>
      <c r="B9" s="3" t="n">
        <v>38458</v>
      </c>
      <c r="C9" s="3" t="n">
        <v>31778</v>
      </c>
      <c r="D9" s="3">
        <f>C9-B9</f>
        <v/>
      </c>
      <c r="E9" s="4">
        <f>D9/B9</f>
        <v/>
      </c>
    </row>
    <row r="10">
      <c r="A10" s="2" t="inlineStr">
        <is>
          <t>R&amp;D Expense</t>
        </is>
      </c>
      <c r="B10" s="3" t="n">
        <v>8504</v>
      </c>
      <c r="C10" s="3" t="n">
        <v>8915</v>
      </c>
      <c r="D10" s="3">
        <f>C10-B10</f>
        <v/>
      </c>
      <c r="E10" s="4">
        <f>D10/B10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BALANCE SHEET VARIANCE ANALYSIS</t>
        </is>
      </c>
    </row>
    <row r="2">
      <c r="A2" t="inlineStr">
        <is>
          <t>($ in millions)</t>
        </is>
      </c>
    </row>
    <row r="4">
      <c r="A4" s="1" t="inlineStr">
        <is>
          <t>Metric</t>
        </is>
      </c>
      <c r="B4" s="1" t="inlineStr">
        <is>
          <t>Q2 FY2026</t>
        </is>
      </c>
      <c r="C4" s="1" t="inlineStr">
        <is>
          <t>Q3 FY2026</t>
        </is>
      </c>
      <c r="D4" s="1" t="inlineStr">
        <is>
          <t>Variance ($M)</t>
        </is>
      </c>
      <c r="E4" s="1" t="inlineStr">
        <is>
          <t>Variance (%)</t>
        </is>
      </c>
    </row>
    <row r="5">
      <c r="A5" s="2" t="inlineStr">
        <is>
          <t>Total Assets</t>
        </is>
      </c>
      <c r="B5" s="3" t="n">
        <v>665302</v>
      </c>
      <c r="C5" s="3" t="n">
        <v>694228</v>
      </c>
      <c r="D5" s="3">
        <f>C5-B5</f>
        <v/>
      </c>
      <c r="E5" s="4">
        <f>D5/B5</f>
        <v/>
      </c>
    </row>
    <row r="6">
      <c r="A6" s="2" t="inlineStr">
        <is>
          <t>Total Liabilities</t>
        </is>
      </c>
      <c r="B6" s="3" t="n">
        <v>274427</v>
      </c>
      <c r="C6" s="3" t="n">
        <v>279861</v>
      </c>
      <c r="D6" s="3">
        <f>C6-B6</f>
        <v/>
      </c>
      <c r="E6" s="4">
        <f>D6/B6</f>
        <v/>
      </c>
    </row>
    <row r="7">
      <c r="A7" s="2" t="inlineStr">
        <is>
          <t>Stockholders' Equity</t>
        </is>
      </c>
      <c r="B7" s="3" t="n">
        <v>390875</v>
      </c>
      <c r="C7" s="3" t="n">
        <v>414367</v>
      </c>
      <c r="D7" s="3">
        <f>C7-B7</f>
        <v/>
      </c>
      <c r="E7" s="4">
        <f>D7/B7</f>
        <v/>
      </c>
    </row>
    <row r="8">
      <c r="A8" s="2" t="inlineStr">
        <is>
          <t>Cash &amp; Cash Equivalents</t>
        </is>
      </c>
      <c r="B8" s="3" t="n">
        <v>24296</v>
      </c>
      <c r="C8" s="3" t="n">
        <v>32105</v>
      </c>
      <c r="D8" s="3">
        <f>C8-B8</f>
        <v/>
      </c>
      <c r="E8" s="4">
        <f>D8/B8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</cols>
  <sheetData>
    <row r="1">
      <c r="A1" s="1" t="inlineStr">
        <is>
          <t>EPS ANALYSIS</t>
        </is>
      </c>
    </row>
    <row r="2">
      <c r="A2" t="inlineStr">
        <is>
          <t>Earnings Per Share (Diluted)</t>
        </is>
      </c>
    </row>
    <row r="4">
      <c r="A4" s="1" t="inlineStr">
        <is>
          <t>Period</t>
        </is>
      </c>
      <c r="B4" s="1" t="inlineStr">
        <is>
          <t>EPS</t>
        </is>
      </c>
      <c r="C4" s="1" t="inlineStr">
        <is>
          <t>QoQ Change ($)</t>
        </is>
      </c>
      <c r="D4" s="1" t="inlineStr">
        <is>
          <t>QoQ Change (%)</t>
        </is>
      </c>
    </row>
    <row r="5">
      <c r="A5" s="2" t="inlineStr">
        <is>
          <t>Q1 FY2026</t>
        </is>
      </c>
      <c r="B5" s="5" t="n">
        <v>3.72</v>
      </c>
    </row>
    <row r="6">
      <c r="A6" s="2" t="inlineStr">
        <is>
          <t>Q2 FY2026</t>
        </is>
      </c>
      <c r="B6" s="5" t="n">
        <v>5.16</v>
      </c>
      <c r="C6" s="5">
        <f>B6-B5</f>
        <v/>
      </c>
      <c r="D6" s="4">
        <f>C6/B5</f>
        <v/>
      </c>
    </row>
    <row r="7">
      <c r="A7" s="2" t="inlineStr">
        <is>
          <t>Q3 FY2026</t>
        </is>
      </c>
      <c r="B7" s="5" t="n">
        <v>4.27</v>
      </c>
      <c r="C7" s="5">
        <f>B7-B6</f>
        <v/>
      </c>
      <c r="D7" s="4">
        <f>C7/B6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YEAR-TO-DATE SUMMARY (Q1-Q3 FY2026)</t>
        </is>
      </c>
    </row>
    <row r="2">
      <c r="A2" t="inlineStr">
        <is>
          <t>($ in millions)</t>
        </is>
      </c>
    </row>
    <row r="4">
      <c r="A4" s="1" t="inlineStr">
        <is>
          <t>Metric</t>
        </is>
      </c>
      <c r="B4" s="1" t="inlineStr">
        <is>
          <t>Q1 FY2026</t>
        </is>
      </c>
      <c r="C4" s="1" t="inlineStr">
        <is>
          <t>Q2 FY2026</t>
        </is>
      </c>
      <c r="D4" s="1" t="inlineStr">
        <is>
          <t>Q3 FY2026</t>
        </is>
      </c>
      <c r="E4" s="1" t="inlineStr">
        <is>
          <t>YTD Total</t>
        </is>
      </c>
    </row>
    <row r="5">
      <c r="A5" s="2" t="inlineStr">
        <is>
          <t>Revenue</t>
        </is>
      </c>
      <c r="B5" s="3" t="n">
        <v>77673</v>
      </c>
      <c r="C5" s="3" t="n">
        <v>81273</v>
      </c>
      <c r="D5" s="3" t="n">
        <v>82886</v>
      </c>
      <c r="E5" s="3">
        <f>SUM(B5:D5)</f>
        <v/>
      </c>
    </row>
    <row r="6">
      <c r="A6" s="2" t="inlineStr">
        <is>
          <t>Cost of Goods &amp; Services Sold</t>
        </is>
      </c>
      <c r="B6" s="3" t="n">
        <v>24043</v>
      </c>
      <c r="C6" s="3" t="n">
        <v>25978</v>
      </c>
      <c r="D6" s="3" t="n">
        <v>26828</v>
      </c>
      <c r="E6" s="3">
        <f>SUM(B6:D6)</f>
        <v/>
      </c>
    </row>
    <row r="7">
      <c r="A7" s="2" t="inlineStr">
        <is>
          <t>Gross Profit</t>
        </is>
      </c>
      <c r="B7" s="3" t="n">
        <v>53630</v>
      </c>
      <c r="C7" s="3" t="n">
        <v>55295</v>
      </c>
      <c r="D7" s="3" t="n">
        <v>56058</v>
      </c>
      <c r="E7" s="3">
        <f>SUM(B7:D7)</f>
        <v/>
      </c>
    </row>
    <row r="8">
      <c r="A8" s="2" t="inlineStr">
        <is>
          <t>Operating Income</t>
        </is>
      </c>
      <c r="B8" s="3" t="n">
        <v>37961</v>
      </c>
      <c r="C8" s="3" t="n">
        <v>38275</v>
      </c>
      <c r="D8" s="3" t="n">
        <v>38398</v>
      </c>
      <c r="E8" s="3">
        <f>SUM(B8:D8)</f>
        <v/>
      </c>
    </row>
    <row r="9">
      <c r="A9" s="2" t="inlineStr">
        <is>
          <t>Net Income</t>
        </is>
      </c>
      <c r="B9" s="3" t="n">
        <v>27747</v>
      </c>
      <c r="C9" s="3" t="n">
        <v>38458</v>
      </c>
      <c r="D9" s="3" t="n">
        <v>31778</v>
      </c>
      <c r="E9" s="3">
        <f>SUM(B9:D9)</f>
        <v/>
      </c>
    </row>
    <row r="10">
      <c r="A10" s="2" t="inlineStr">
        <is>
          <t>R&amp;D Expense</t>
        </is>
      </c>
      <c r="B10" s="3" t="n">
        <v>8146</v>
      </c>
      <c r="C10" s="3" t="n">
        <v>8504</v>
      </c>
      <c r="D10" s="3" t="n">
        <v>8915</v>
      </c>
      <c r="E10" s="3">
        <f>SUM(B10:D10)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2026-05-13T18:24:18Z</dcterms:created>
  <dcterms:modified xmlns:dcterms="http://purl.org/dc/terms/" xmlns:xsi="http://www.w3.org/2001/XMLSchema-instance" xsi:type="dcterms:W3CDTF">2026-05-13T18:24:18Z</dcterms:modified>
</cp:coreProperties>
</file>