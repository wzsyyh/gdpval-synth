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2" fillId="5" borderId="0" pivotButton="0" quotePrefix="0" xfId="0"/>
    <xf numFmtId="10" fontId="2" fillId="5" borderId="0" pivotButton="0" quotePrefix="0" xfId="0"/>
    <xf numFmtId="3" fontId="0" fillId="0" borderId="0" pivotButton="0" quotePrefix="0" xfId="0"/>
    <xf numFmtId="3" fontId="2" fillId="5" borderId="0" pivotButton="0" quotePrefix="0" xfId="0"/>
    <xf numFmtId="165" fontId="0" fillId="0" borderId="0" pivotButton="0" quotePrefix="0" xfId="0"/>
    <xf numFmtId="166" fontId="2" fillId="5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DCF Model Assumptions</t>
        </is>
      </c>
    </row>
    <row r="3">
      <c r="A3" s="2" t="inlineStr">
        <is>
          <t>Base-Year Financials (TTM, $M)</t>
        </is>
      </c>
    </row>
    <row r="4">
      <c r="A4" s="3" t="inlineStr">
        <is>
          <t>Revenue</t>
        </is>
      </c>
      <c r="B4" s="4" t="n">
        <v>52871</v>
      </c>
    </row>
    <row r="5">
      <c r="A5" s="3" t="inlineStr">
        <is>
          <t>COGS</t>
        </is>
      </c>
      <c r="B5" s="4" t="n">
        <v>-1994</v>
      </c>
    </row>
    <row r="6">
      <c r="A6" s="3" t="inlineStr">
        <is>
          <t>SG&amp;A</t>
        </is>
      </c>
      <c r="B6" s="4" t="n">
        <v>30702</v>
      </c>
    </row>
    <row r="7">
      <c r="A7" s="3" t="inlineStr">
        <is>
          <t>R&amp;D</t>
        </is>
      </c>
      <c r="B7" s="4" t="n">
        <v>0</v>
      </c>
    </row>
    <row r="8">
      <c r="A8" s="3" t="inlineStr">
        <is>
          <t>D&amp;A</t>
        </is>
      </c>
      <c r="B8" s="4" t="n">
        <v>2643.6</v>
      </c>
    </row>
    <row r="9">
      <c r="A9" s="3" t="inlineStr">
        <is>
          <t>CapEx</t>
        </is>
      </c>
      <c r="B9" s="4" t="n">
        <v>4229.7</v>
      </c>
    </row>
    <row r="10">
      <c r="A10" s="3" t="inlineStr">
        <is>
          <t>Cash</t>
        </is>
      </c>
      <c r="B10" s="4" t="n">
        <v>1389</v>
      </c>
    </row>
    <row r="11">
      <c r="A11" s="3" t="inlineStr">
        <is>
          <t>Total Debt</t>
        </is>
      </c>
      <c r="B11" s="4" t="n">
        <v>92282</v>
      </c>
    </row>
    <row r="12">
      <c r="A12" s="3" t="inlineStr">
        <is>
          <t>Shares Outstanding (M)</t>
        </is>
      </c>
      <c r="B12" s="4" t="n">
        <v>1000</v>
      </c>
    </row>
    <row r="14">
      <c r="A14" s="2" t="inlineStr">
        <is>
          <t>Growth &amp; Margin Assumptions</t>
        </is>
      </c>
    </row>
    <row r="15">
      <c r="A15" s="3" t="inlineStr">
        <is>
          <t>Revenue Growth</t>
        </is>
      </c>
      <c r="B15" s="5" t="n">
        <v>0.043</v>
      </c>
    </row>
    <row r="16">
      <c r="A16" s="3" t="inlineStr">
        <is>
          <t>COGS % of Revenue</t>
        </is>
      </c>
      <c r="B16" s="5" t="n">
        <v>-0.0377</v>
      </c>
    </row>
    <row r="17">
      <c r="A17" s="3" t="inlineStr">
        <is>
          <t>SG&amp;A % of Revenue</t>
        </is>
      </c>
      <c r="B17" s="5" t="n">
        <v>0.5807</v>
      </c>
    </row>
    <row r="18">
      <c r="A18" s="3" t="inlineStr">
        <is>
          <t>R&amp;D % of Revenue</t>
        </is>
      </c>
      <c r="B18" s="5" t="n">
        <v>0</v>
      </c>
    </row>
    <row r="19">
      <c r="A19" s="3" t="inlineStr">
        <is>
          <t>D&amp;A % of Revenue</t>
        </is>
      </c>
      <c r="B19" s="5" t="n">
        <v>0.05</v>
      </c>
    </row>
    <row r="20">
      <c r="A20" s="3" t="inlineStr">
        <is>
          <t>CapEx % of Revenue</t>
        </is>
      </c>
      <c r="B20" s="5" t="n">
        <v>0.08</v>
      </c>
    </row>
    <row r="21">
      <c r="A21" s="3" t="inlineStr">
        <is>
          <t>Tax Rate</t>
        </is>
      </c>
      <c r="B21" s="5" t="n">
        <v>0.21</v>
      </c>
    </row>
    <row r="22">
      <c r="A22" s="3" t="inlineStr">
        <is>
          <t>ΔWC % of ΔRevenue</t>
        </is>
      </c>
      <c r="B22" s="5" t="n">
        <v>0.02</v>
      </c>
    </row>
    <row r="24">
      <c r="A24" s="2" t="inlineStr">
        <is>
          <t>WACC Components</t>
        </is>
      </c>
    </row>
    <row r="25">
      <c r="A25" s="3" t="inlineStr">
        <is>
          <t>Risk-Free Rate</t>
        </is>
      </c>
      <c r="B25" s="6" t="n">
        <v>0.0435</v>
      </c>
    </row>
    <row r="26">
      <c r="A26" s="3" t="inlineStr">
        <is>
          <t>Equity Risk Premium</t>
        </is>
      </c>
      <c r="B26" s="6" t="n">
        <v>0.055</v>
      </c>
    </row>
    <row r="27">
      <c r="A27" s="3" t="inlineStr">
        <is>
          <t>Beta</t>
        </is>
      </c>
      <c r="B27" s="7" t="n">
        <v>1.16</v>
      </c>
    </row>
    <row r="28">
      <c r="A28" s="8" t="inlineStr">
        <is>
          <t>Cost of Equity (Ke)</t>
        </is>
      </c>
      <c r="B28" s="9">
        <f>B25+B27*B26</f>
        <v/>
      </c>
    </row>
    <row r="29">
      <c r="A29" s="3" t="inlineStr">
        <is>
          <t>Pre-tax Cost of Debt (Kd)</t>
        </is>
      </c>
      <c r="B29" s="6" t="n">
        <v>0.045</v>
      </c>
    </row>
    <row r="30">
      <c r="A30" s="3" t="inlineStr">
        <is>
          <t>Weight of Debt (Wd)</t>
        </is>
      </c>
      <c r="B30" s="5" t="n">
        <v>0.878</v>
      </c>
    </row>
    <row r="31">
      <c r="A31" s="8" t="inlineStr">
        <is>
          <t>Weight of Equity (We)</t>
        </is>
      </c>
      <c r="B31" s="10">
        <f>1-B30</f>
        <v/>
      </c>
    </row>
    <row r="32">
      <c r="A32" s="11" t="inlineStr">
        <is>
          <t>WACC</t>
        </is>
      </c>
      <c r="B32" s="12">
        <f>B31*B28+B30*B29*(1-B21)</f>
        <v/>
      </c>
    </row>
    <row r="34">
      <c r="A34" s="3" t="inlineStr">
        <is>
          <t>Terminal Growth Rate</t>
        </is>
      </c>
      <c r="B34" s="6" t="n">
        <v>0.019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Income Statement Projection ($M)</t>
        </is>
      </c>
    </row>
    <row r="3">
      <c r="A3" t="inlineStr">
        <is>
          <t>Line Item</t>
        </is>
      </c>
      <c r="B3" t="inlineStr">
        <is>
          <t>Base (TTM)</t>
        </is>
      </c>
      <c r="C3" t="inlineStr">
        <is>
          <t>Year 1</t>
        </is>
      </c>
      <c r="D3" t="inlineStr">
        <is>
          <t>Year 2</t>
        </is>
      </c>
      <c r="E3" t="inlineStr">
        <is>
          <t>Year 3</t>
        </is>
      </c>
      <c r="F3" t="inlineStr">
        <is>
          <t>Year 4</t>
        </is>
      </c>
      <c r="G3" t="inlineStr">
        <is>
          <t>Year 5</t>
        </is>
      </c>
    </row>
    <row r="4">
      <c r="A4" s="2" t="inlineStr">
        <is>
          <t>Revenue</t>
        </is>
      </c>
      <c r="B4" s="13" t="n">
        <v>52871</v>
      </c>
      <c r="C4" s="13" t="n">
        <v>55144.5</v>
      </c>
      <c r="D4" s="13" t="n">
        <v>57515.7</v>
      </c>
      <c r="E4" s="13" t="n">
        <v>59988.8</v>
      </c>
      <c r="F4" s="13" t="n">
        <v>62568.4</v>
      </c>
      <c r="G4" s="13" t="n">
        <v>65258.8</v>
      </c>
    </row>
    <row r="5">
      <c r="A5" t="inlineStr">
        <is>
          <t>(-) COGS</t>
        </is>
      </c>
      <c r="B5" s="13" t="n">
        <v>-1994</v>
      </c>
      <c r="C5" s="13" t="n">
        <v>-2078.9</v>
      </c>
      <c r="D5" s="13" t="n">
        <v>-2168.3</v>
      </c>
      <c r="E5" s="13" t="n">
        <v>-2261.6</v>
      </c>
      <c r="F5" s="13" t="n">
        <v>-2358.8</v>
      </c>
      <c r="G5" s="13" t="n">
        <v>-2460.3</v>
      </c>
    </row>
    <row r="6">
      <c r="A6" s="2" t="inlineStr">
        <is>
          <t>Gross Profit</t>
        </is>
      </c>
      <c r="B6" s="13">
        <f>B4-B5</f>
        <v/>
      </c>
      <c r="C6" s="13">
        <f>C4-C5</f>
        <v/>
      </c>
      <c r="D6" s="13">
        <f>D4-D5</f>
        <v/>
      </c>
      <c r="E6" s="13">
        <f>E4-E5</f>
        <v/>
      </c>
      <c r="F6" s="13">
        <f>F4-F5</f>
        <v/>
      </c>
      <c r="G6" s="13">
        <f>G4-G5</f>
        <v/>
      </c>
    </row>
    <row r="7">
      <c r="A7" t="inlineStr">
        <is>
          <t>(-) SG&amp;A</t>
        </is>
      </c>
      <c r="B7" s="13" t="n">
        <v>30702</v>
      </c>
      <c r="C7" s="13" t="n">
        <v>32022.4</v>
      </c>
      <c r="D7" s="13" t="n">
        <v>33399.3</v>
      </c>
      <c r="E7" s="13" t="n">
        <v>34835.5</v>
      </c>
      <c r="F7" s="13" t="n">
        <v>36333.4</v>
      </c>
      <c r="G7" s="13" t="n">
        <v>37895.8</v>
      </c>
    </row>
    <row r="8">
      <c r="A8" t="inlineStr">
        <is>
          <t>(-) R&amp;D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</row>
    <row r="9">
      <c r="A9" t="inlineStr">
        <is>
          <t>(-) D&amp;A</t>
        </is>
      </c>
      <c r="B9" s="13" t="n">
        <v>2643.6</v>
      </c>
      <c r="C9" s="13" t="n">
        <v>2757.2</v>
      </c>
      <c r="D9" s="13" t="n">
        <v>2875.8</v>
      </c>
      <c r="E9" s="13" t="n">
        <v>2999.4</v>
      </c>
      <c r="F9" s="13" t="n">
        <v>3128.4</v>
      </c>
      <c r="G9" s="13" t="n">
        <v>3262.9</v>
      </c>
    </row>
    <row r="10">
      <c r="A10" s="2" t="inlineStr">
        <is>
          <t>EBIT</t>
        </is>
      </c>
      <c r="B10" s="13">
        <f>B6-B7-B8-B9</f>
        <v/>
      </c>
      <c r="C10" s="13">
        <f>C6-C7-C8-C9</f>
        <v/>
      </c>
      <c r="D10" s="13">
        <f>D6-D7-D8-D9</f>
        <v/>
      </c>
      <c r="E10" s="13">
        <f>E6-E7-E8-E9</f>
        <v/>
      </c>
      <c r="F10" s="13">
        <f>F6-F7-F8-F9</f>
        <v/>
      </c>
      <c r="G10" s="13">
        <f>G6-G7-G8-G9</f>
        <v/>
      </c>
    </row>
    <row r="11">
      <c r="A11" t="inlineStr">
        <is>
          <t>(-) Taxes</t>
        </is>
      </c>
      <c r="B11" s="13">
        <f>MAX(B10*Assumptions!$B$21,0)</f>
        <v/>
      </c>
      <c r="C11" s="13">
        <f>MAX(C10*Assumptions!$B$21,0)</f>
        <v/>
      </c>
      <c r="D11" s="13">
        <f>MAX(D10*Assumptions!$B$21,0)</f>
        <v/>
      </c>
      <c r="E11" s="13">
        <f>MAX(E10*Assumptions!$B$21,0)</f>
        <v/>
      </c>
      <c r="F11" s="13">
        <f>MAX(F10*Assumptions!$B$21,0)</f>
        <v/>
      </c>
      <c r="G11" s="13">
        <f>MAX(G10*Assumptions!$B$21,0)</f>
        <v/>
      </c>
    </row>
    <row r="12">
      <c r="A12" s="2" t="inlineStr">
        <is>
          <t>NOPAT</t>
        </is>
      </c>
      <c r="B12" s="13">
        <f>B10-B11</f>
        <v/>
      </c>
      <c r="C12" s="13">
        <f>C10-C11</f>
        <v/>
      </c>
      <c r="D12" s="13">
        <f>D10-D11</f>
        <v/>
      </c>
      <c r="E12" s="13">
        <f>E10-E11</f>
        <v/>
      </c>
      <c r="F12" s="13">
        <f>F10-F11</f>
        <v/>
      </c>
      <c r="G12" s="13">
        <f>G10-G11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Unlevered Free Cash Flow ($M)</t>
        </is>
      </c>
    </row>
    <row r="3">
      <c r="A3" t="inlineStr">
        <is>
          <t>Line Item</t>
        </is>
      </c>
      <c r="B3" t="inlineStr">
        <is>
          <t>Year 1</t>
        </is>
      </c>
      <c r="C3" t="inlineStr">
        <is>
          <t>Year 2</t>
        </is>
      </c>
      <c r="D3" t="inlineStr">
        <is>
          <t>Year 3</t>
        </is>
      </c>
      <c r="E3" t="inlineStr">
        <is>
          <t>Year 4</t>
        </is>
      </c>
      <c r="F3" t="inlineStr">
        <is>
          <t>Year 5</t>
        </is>
      </c>
    </row>
    <row r="4">
      <c r="A4" t="inlineStr">
        <is>
          <t>NOPAT</t>
        </is>
      </c>
      <c r="B4" s="13">
        <f>'Income Statement'!B12</f>
        <v/>
      </c>
      <c r="C4" s="13">
        <f>'Income Statement'!C12</f>
        <v/>
      </c>
      <c r="D4" s="13">
        <f>'Income Statement'!D12</f>
        <v/>
      </c>
      <c r="E4" s="13">
        <f>'Income Statement'!E12</f>
        <v/>
      </c>
      <c r="F4" s="13">
        <f>'Income Statement'!F12</f>
        <v/>
      </c>
    </row>
    <row r="5">
      <c r="A5" t="inlineStr">
        <is>
          <t>(+) D&amp;A</t>
        </is>
      </c>
      <c r="B5" s="13" t="n">
        <v>2757.2</v>
      </c>
      <c r="C5" s="13" t="n">
        <v>2875.8</v>
      </c>
      <c r="D5" s="13" t="n">
        <v>2999.4</v>
      </c>
      <c r="E5" s="13" t="n">
        <v>3128.4</v>
      </c>
      <c r="F5" s="13" t="n">
        <v>3262.9</v>
      </c>
    </row>
    <row r="6">
      <c r="A6" t="inlineStr">
        <is>
          <t>(-) CapEx</t>
        </is>
      </c>
      <c r="B6" s="13" t="n">
        <v>4411.6</v>
      </c>
      <c r="C6" s="13" t="n">
        <v>4601.3</v>
      </c>
      <c r="D6" s="13" t="n">
        <v>4799.1</v>
      </c>
      <c r="E6" s="13" t="n">
        <v>5005.5</v>
      </c>
      <c r="F6" s="13" t="n">
        <v>5220.7</v>
      </c>
    </row>
    <row r="7">
      <c r="A7" t="inlineStr">
        <is>
          <t>(-) Δ Working Capital</t>
        </is>
      </c>
      <c r="B7" s="13" t="n">
        <v>45.5</v>
      </c>
      <c r="C7" s="13" t="n">
        <v>47.4</v>
      </c>
      <c r="D7" s="13" t="n">
        <v>49.5</v>
      </c>
      <c r="E7" s="13" t="n">
        <v>51.6</v>
      </c>
      <c r="F7" s="13" t="n">
        <v>53.8</v>
      </c>
    </row>
    <row r="8">
      <c r="A8" s="2" t="inlineStr">
        <is>
          <t>Unlevered FCFF</t>
        </is>
      </c>
      <c r="B8" s="14">
        <f>B4+B5-B6-B7</f>
        <v/>
      </c>
      <c r="C8" s="14">
        <f>C4+C5-C6-C7</f>
        <v/>
      </c>
      <c r="D8" s="14">
        <f>D4+D5-D6-D7</f>
        <v/>
      </c>
      <c r="E8" s="14">
        <f>E4+E5-E6-E7</f>
        <v/>
      </c>
      <c r="F8" s="14">
        <f>F4+F5-F6-F7</f>
        <v/>
      </c>
    </row>
    <row r="10">
      <c r="A10" s="2" t="inlineStr">
        <is>
          <t>Terminal Value</t>
        </is>
      </c>
      <c r="B10" s="14">
        <f>F8*(1+Assumptions!$B$34)/(Assumptions!$B$32-Assumptions!$B$34)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DCF Valuation ($M)</t>
        </is>
      </c>
    </row>
    <row r="3">
      <c r="A3" t="inlineStr">
        <is>
          <t>Year</t>
        </is>
      </c>
      <c r="B3" t="inlineStr">
        <is>
          <t>FCFF</t>
        </is>
      </c>
      <c r="C3" t="inlineStr">
        <is>
          <t>Discount Factor</t>
        </is>
      </c>
      <c r="D3" t="inlineStr">
        <is>
          <t>PV of FCFF</t>
        </is>
      </c>
    </row>
    <row r="4">
      <c r="A4" t="inlineStr">
        <is>
          <t>Year 1</t>
        </is>
      </c>
      <c r="B4" s="13">
        <f>'DCF'!B8</f>
        <v/>
      </c>
      <c r="C4" s="15">
        <f>1/(1+Assumptions!$B$32)^1</f>
        <v/>
      </c>
      <c r="D4" s="13">
        <f>B4*C4</f>
        <v/>
      </c>
    </row>
    <row r="5">
      <c r="A5" t="inlineStr">
        <is>
          <t>Year 2</t>
        </is>
      </c>
      <c r="B5" s="13">
        <f>'DCF'!C8</f>
        <v/>
      </c>
      <c r="C5" s="15">
        <f>1/(1+Assumptions!$B$32)^2</f>
        <v/>
      </c>
      <c r="D5" s="13">
        <f>B5*C5</f>
        <v/>
      </c>
    </row>
    <row r="6">
      <c r="A6" t="inlineStr">
        <is>
          <t>Year 3</t>
        </is>
      </c>
      <c r="B6" s="13">
        <f>'DCF'!D8</f>
        <v/>
      </c>
      <c r="C6" s="15">
        <f>1/(1+Assumptions!$B$32)^3</f>
        <v/>
      </c>
      <c r="D6" s="13">
        <f>B6*C6</f>
        <v/>
      </c>
    </row>
    <row r="7">
      <c r="A7" t="inlineStr">
        <is>
          <t>Year 4</t>
        </is>
      </c>
      <c r="B7" s="13">
        <f>'DCF'!E8</f>
        <v/>
      </c>
      <c r="C7" s="15">
        <f>1/(1+Assumptions!$B$32)^4</f>
        <v/>
      </c>
      <c r="D7" s="13">
        <f>B7*C7</f>
        <v/>
      </c>
    </row>
    <row r="8">
      <c r="A8" t="inlineStr">
        <is>
          <t>Year 5</t>
        </is>
      </c>
      <c r="B8" s="13">
        <f>'DCF'!F8</f>
        <v/>
      </c>
      <c r="C8" s="15">
        <f>1/(1+Assumptions!$B$32)^5</f>
        <v/>
      </c>
      <c r="D8" s="13">
        <f>B8*C8</f>
        <v/>
      </c>
    </row>
    <row r="9">
      <c r="A9" s="2" t="inlineStr">
        <is>
          <t>PV of Terminal Value</t>
        </is>
      </c>
      <c r="B9" s="13">
        <f>'DCF'!B10*C8</f>
        <v/>
      </c>
    </row>
    <row r="10">
      <c r="A10" s="11" t="inlineStr">
        <is>
          <t>Enterprise Value</t>
        </is>
      </c>
      <c r="B10" s="14">
        <f>SUM(D4:D8)+B9</f>
        <v/>
      </c>
    </row>
    <row r="11">
      <c r="A11" t="inlineStr">
        <is>
          <t>(-) Total Debt</t>
        </is>
      </c>
      <c r="B11" s="13">
        <f>Assumptions!B11</f>
        <v/>
      </c>
    </row>
    <row r="12">
      <c r="A12" t="inlineStr">
        <is>
          <t>(+) Cash</t>
        </is>
      </c>
      <c r="B12" s="13">
        <f>Assumptions!B10</f>
        <v/>
      </c>
    </row>
    <row r="13">
      <c r="A13" s="11" t="inlineStr">
        <is>
          <t>Equity Value</t>
        </is>
      </c>
      <c r="B13" s="14">
        <f>B10-B11+B12</f>
        <v/>
      </c>
    </row>
    <row r="14">
      <c r="A14" t="inlineStr">
        <is>
          <t>Shares Outstanding (M)</t>
        </is>
      </c>
      <c r="B14" s="13">
        <f>Assumptions!B12</f>
        <v/>
      </c>
    </row>
    <row r="15">
      <c r="A15" s="11" t="inlineStr">
        <is>
          <t>Implied Value Per Share</t>
        </is>
      </c>
      <c r="B15" s="16">
        <f>B13/B14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Sensitivity: Equity Value Per Share</t>
        </is>
      </c>
    </row>
    <row r="3">
      <c r="A3" t="inlineStr">
        <is>
          <t>WACC \ g</t>
        </is>
      </c>
      <c r="B3" s="17" t="n">
        <v>0.008999999999999999</v>
      </c>
      <c r="C3" s="17" t="n">
        <v>0.014</v>
      </c>
      <c r="D3" s="17" t="n">
        <v>0.019</v>
      </c>
      <c r="E3" s="17" t="n">
        <v>0.024</v>
      </c>
      <c r="F3" s="17" t="n">
        <v>0.029</v>
      </c>
    </row>
    <row r="4">
      <c r="A4" s="17" t="n">
        <v>0.0243</v>
      </c>
      <c r="B4" s="18">
        <f>IF(B3&lt;$A4,'Valuation'!$B$13/'Valuation'!$B$14*('DCF'!$F$8*(1+B3)/($A4-B3)/((1+$A4)^5)+SUM('Valuation'!$D$4:$D$8))/'Valuation'!$B$14,"N/A")</f>
        <v/>
      </c>
      <c r="C4" s="18">
        <f>IF(B3&lt;$A5,'Valuation'!$B$13/'Valuation'!$B$14*('DCF'!$F$8*(1+B3)/($A5-B3)/((1+$A5)^5)+SUM('Valuation'!$D$4:$D$8))/'Valuation'!$B$14,"N/A")</f>
        <v/>
      </c>
      <c r="D4" s="18">
        <f>IF(B3&lt;$A6,'Valuation'!$B$13/'Valuation'!$B$14*('DCF'!$F$8*(1+B3)/($A6-B3)/((1+$A6)^5)+SUM('Valuation'!$D$4:$D$8))/'Valuation'!$B$14,"N/A")</f>
        <v/>
      </c>
      <c r="E4" s="18">
        <f>IF(B3&lt;$A7,'Valuation'!$B$13/'Valuation'!$B$14*('DCF'!$F$8*(1+B3)/($A7-B3)/((1+$A7)^5)+SUM('Valuation'!$D$4:$D$8))/'Valuation'!$B$14,"N/A")</f>
        <v/>
      </c>
      <c r="F4" s="18">
        <f>IF(B3&lt;$A8,'Valuation'!$B$13/'Valuation'!$B$14*('DCF'!$F$8*(1+B3)/($A8-B3)/((1+$A8)^5)+SUM('Valuation'!$D$4:$D$8))/'Valuation'!$B$14,"N/A")</f>
        <v/>
      </c>
    </row>
    <row r="5">
      <c r="A5" s="17" t="n">
        <v>0.0343</v>
      </c>
      <c r="B5" s="18">
        <f>IF(C3&lt;$A4,'Valuation'!$B$13/'Valuation'!$B$14*('DCF'!$F$8*(1+C3)/($A4-C3)/((1+$A4)^5)+SUM('Valuation'!$D$4:$D$8))/'Valuation'!$B$14,"N/A")</f>
        <v/>
      </c>
      <c r="C5" s="18">
        <f>IF(C3&lt;$A5,'Valuation'!$B$13/'Valuation'!$B$14*('DCF'!$F$8*(1+C3)/($A5-C3)/((1+$A5)^5)+SUM('Valuation'!$D$4:$D$8))/'Valuation'!$B$14,"N/A")</f>
        <v/>
      </c>
      <c r="D5" s="18">
        <f>IF(C3&lt;$A6,'Valuation'!$B$13/'Valuation'!$B$14*('DCF'!$F$8*(1+C3)/($A6-C3)/((1+$A6)^5)+SUM('Valuation'!$D$4:$D$8))/'Valuation'!$B$14,"N/A")</f>
        <v/>
      </c>
      <c r="E5" s="18">
        <f>IF(C3&lt;$A7,'Valuation'!$B$13/'Valuation'!$B$14*('DCF'!$F$8*(1+C3)/($A7-C3)/((1+$A7)^5)+SUM('Valuation'!$D$4:$D$8))/'Valuation'!$B$14,"N/A")</f>
        <v/>
      </c>
      <c r="F5" s="18">
        <f>IF(C3&lt;$A8,'Valuation'!$B$13/'Valuation'!$B$14*('DCF'!$F$8*(1+C3)/($A8-C3)/((1+$A8)^5)+SUM('Valuation'!$D$4:$D$8))/'Valuation'!$B$14,"N/A")</f>
        <v/>
      </c>
    </row>
    <row r="6">
      <c r="A6" s="17" t="n">
        <v>0.0443</v>
      </c>
      <c r="B6" s="18">
        <f>IF(D3&lt;$A4,'Valuation'!$B$13/'Valuation'!$B$14*('DCF'!$F$8*(1+D3)/($A4-D3)/((1+$A4)^5)+SUM('Valuation'!$D$4:$D$8))/'Valuation'!$B$14,"N/A")</f>
        <v/>
      </c>
      <c r="C6" s="18">
        <f>IF(D3&lt;$A5,'Valuation'!$B$13/'Valuation'!$B$14*('DCF'!$F$8*(1+D3)/($A5-D3)/((1+$A5)^5)+SUM('Valuation'!$D$4:$D$8))/'Valuation'!$B$14,"N/A")</f>
        <v/>
      </c>
      <c r="D6" s="18">
        <f>IF(D3&lt;$A6,'Valuation'!$B$13/'Valuation'!$B$14*('DCF'!$F$8*(1+D3)/($A6-D3)/((1+$A6)^5)+SUM('Valuation'!$D$4:$D$8))/'Valuation'!$B$14,"N/A")</f>
        <v/>
      </c>
      <c r="E6" s="18">
        <f>IF(D3&lt;$A7,'Valuation'!$B$13/'Valuation'!$B$14*('DCF'!$F$8*(1+D3)/($A7-D3)/((1+$A7)^5)+SUM('Valuation'!$D$4:$D$8))/'Valuation'!$B$14,"N/A")</f>
        <v/>
      </c>
      <c r="F6" s="18">
        <f>IF(D3&lt;$A8,'Valuation'!$B$13/'Valuation'!$B$14*('DCF'!$F$8*(1+D3)/($A8-D3)/((1+$A8)^5)+SUM('Valuation'!$D$4:$D$8))/'Valuation'!$B$14,"N/A")</f>
        <v/>
      </c>
    </row>
    <row r="7">
      <c r="A7" s="17" t="n">
        <v>0.0543</v>
      </c>
      <c r="B7" s="18">
        <f>IF(E3&lt;$A4,'Valuation'!$B$13/'Valuation'!$B$14*('DCF'!$F$8*(1+E3)/($A4-E3)/((1+$A4)^5)+SUM('Valuation'!$D$4:$D$8))/'Valuation'!$B$14,"N/A")</f>
        <v/>
      </c>
      <c r="C7" s="18">
        <f>IF(E3&lt;$A5,'Valuation'!$B$13/'Valuation'!$B$14*('DCF'!$F$8*(1+E3)/($A5-E3)/((1+$A5)^5)+SUM('Valuation'!$D$4:$D$8))/'Valuation'!$B$14,"N/A")</f>
        <v/>
      </c>
      <c r="D7" s="18">
        <f>IF(E3&lt;$A6,'Valuation'!$B$13/'Valuation'!$B$14*('DCF'!$F$8*(1+E3)/($A6-E3)/((1+$A6)^5)+SUM('Valuation'!$D$4:$D$8))/'Valuation'!$B$14,"N/A")</f>
        <v/>
      </c>
      <c r="E7" s="18">
        <f>IF(E3&lt;$A7,'Valuation'!$B$13/'Valuation'!$B$14*('DCF'!$F$8*(1+E3)/($A7-E3)/((1+$A7)^5)+SUM('Valuation'!$D$4:$D$8))/'Valuation'!$B$14,"N/A")</f>
        <v/>
      </c>
      <c r="F7" s="18">
        <f>IF(E3&lt;$A8,'Valuation'!$B$13/'Valuation'!$B$14*('DCF'!$F$8*(1+E3)/($A8-E3)/((1+$A8)^5)+SUM('Valuation'!$D$4:$D$8))/'Valuation'!$B$14,"N/A")</f>
        <v/>
      </c>
    </row>
    <row r="8">
      <c r="A8" s="17" t="n">
        <v>0.0643</v>
      </c>
      <c r="B8" s="18">
        <f>IF(F3&lt;$A4,'Valuation'!$B$13/'Valuation'!$B$14*('DCF'!$F$8*(1+F3)/($A4-F3)/((1+$A4)^5)+SUM('Valuation'!$D$4:$D$8))/'Valuation'!$B$14,"N/A")</f>
        <v/>
      </c>
      <c r="C8" s="18">
        <f>IF(F3&lt;$A5,'Valuation'!$B$13/'Valuation'!$B$14*('DCF'!$F$8*(1+F3)/($A5-F3)/((1+$A5)^5)+SUM('Valuation'!$D$4:$D$8))/'Valuation'!$B$14,"N/A")</f>
        <v/>
      </c>
      <c r="D8" s="18">
        <f>IF(F3&lt;$A6,'Valuation'!$B$13/'Valuation'!$B$14*('DCF'!$F$8*(1+F3)/($A6-F3)/((1+$A6)^5)+SUM('Valuation'!$D$4:$D$8))/'Valuation'!$B$14,"N/A")</f>
        <v/>
      </c>
      <c r="E8" s="18">
        <f>IF(F3&lt;$A7,'Valuation'!$B$13/'Valuation'!$B$14*('DCF'!$F$8*(1+F3)/($A7-F3)/((1+$A7)^5)+SUM('Valuation'!$D$4:$D$8))/'Valuation'!$B$14,"N/A")</f>
        <v/>
      </c>
      <c r="F8" s="18">
        <f>IF(F3&lt;$A8,'Valuation'!$B$13/'Valuation'!$B$14*('DCF'!$F$8*(1+F3)/($A8-F3)/((1+$A8)^5)+SUM('Valuation'!$D$4:$D$8))/'Valuation'!$B$14,"N/A")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2026-05-13T06:30:36Z</dcterms:created>
  <dcterms:modified xmlns:dcterms="http://purl.org/dc/terms/" xmlns:xsi="http://www.w3.org/2001/XMLSchema-instance" xsi:type="dcterms:W3CDTF">2026-05-13T06:30:36Z</dcterms:modified>
</cp:coreProperties>
</file>