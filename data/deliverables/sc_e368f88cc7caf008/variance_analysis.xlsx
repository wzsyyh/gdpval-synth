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Key Metric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Q1 2026</t>
        </is>
      </c>
      <c r="C1" s="1" t="inlineStr">
        <is>
          <t>FY 2025</t>
        </is>
      </c>
      <c r="D1" s="1" t="inlineStr">
        <is>
          <t>Q3 2025</t>
        </is>
      </c>
      <c r="E1" s="1" t="inlineStr">
        <is>
          <t>Q2 2025</t>
        </is>
      </c>
    </row>
    <row r="2">
      <c r="A2" t="inlineStr">
        <is>
          <t>NetIncomeLoss</t>
        </is>
      </c>
      <c r="B2" s="2" t="n">
        <v>5630000000</v>
      </c>
      <c r="C2" s="2" t="n">
        <v>17176000000</v>
      </c>
      <c r="D2" s="2" t="n">
        <v>4098000000</v>
      </c>
      <c r="E2" s="2" t="n">
        <v>8461000000</v>
      </c>
    </row>
    <row r="3">
      <c r="A3" t="inlineStr">
        <is>
          <t>Assets</t>
        </is>
      </c>
      <c r="B3" s="2" t="n">
        <v>2060180000000</v>
      </c>
      <c r="C3" s="2" t="n">
        <v>1809320000000</v>
      </c>
      <c r="D3" s="2" t="n">
        <v>1807982000000</v>
      </c>
      <c r="E3" s="2" t="n">
        <v>1785009000000</v>
      </c>
    </row>
    <row r="4">
      <c r="A4" t="inlineStr">
        <is>
          <t>Liabilities</t>
        </is>
      </c>
      <c r="B4" s="2" t="n">
        <v>1937398000000</v>
      </c>
      <c r="C4" s="2" t="n">
        <v>1684348000000</v>
      </c>
      <c r="D4" s="2" t="n">
        <v>1683580000000</v>
      </c>
      <c r="E4" s="2" t="n">
        <v>1660913000000</v>
      </c>
    </row>
    <row r="5">
      <c r="A5" t="inlineStr">
        <is>
          <t>StockholdersEquity</t>
        </is>
      </c>
      <c r="B5" s="2" t="n">
        <v>122782000000</v>
      </c>
      <c r="C5" s="2" t="n">
        <v>124972000000</v>
      </c>
      <c r="D5" s="2" t="n">
        <v>124402000000</v>
      </c>
      <c r="E5" s="2" t="n">
        <v>124096000000</v>
      </c>
    </row>
    <row r="6">
      <c r="A6" t="inlineStr">
        <is>
          <t>CashAndCashEquivalents</t>
        </is>
      </c>
      <c r="B6" s="2" t="n">
        <v>179530000000</v>
      </c>
      <c r="C6" s="2" t="n">
        <v>164259000000</v>
      </c>
      <c r="D6" s="2" t="n">
        <v>169577000000</v>
      </c>
      <c r="E6" s="2" t="n">
        <v>152967000000</v>
      </c>
    </row>
    <row r="7">
      <c r="A7" t="inlineStr">
        <is>
          <t>EarningsPerShareDiluted</t>
        </is>
      </c>
      <c r="B7" s="3" t="n">
        <v>17.55</v>
      </c>
      <c r="C7" s="3" t="n">
        <v>51.32</v>
      </c>
      <c r="D7" s="3" t="n">
        <v>12.25</v>
      </c>
      <c r="E7" s="3" t="n">
        <v>25.07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Variance Analysis: Q1 2026 Performance</t>
        </is>
      </c>
    </row>
    <row r="3">
      <c r="A3" s="1" t="inlineStr">
        <is>
          <t>QoQ Variance (Q1 2026 vs Q4 2025)</t>
        </is>
      </c>
    </row>
    <row r="4">
      <c r="A4" s="4" t="inlineStr">
        <is>
          <t>Metric</t>
        </is>
      </c>
      <c r="B4" s="4" t="inlineStr">
        <is>
          <t>Q1 2026</t>
        </is>
      </c>
      <c r="C4" s="4" t="inlineStr">
        <is>
          <t>Q4 2025 Proxy</t>
        </is>
      </c>
      <c r="D4" s="4" t="inlineStr">
        <is>
          <t>Abs Variance ($B)</t>
        </is>
      </c>
      <c r="E4" s="4" t="inlineStr">
        <is>
          <t>Pct Change</t>
        </is>
      </c>
    </row>
    <row r="5">
      <c r="A5" t="inlineStr">
        <is>
          <t>NetIncomeLoss</t>
        </is>
      </c>
      <c r="B5" s="3">
        <f>Inputs!B2/1000000000</f>
        <v/>
      </c>
      <c r="C5" s="3">
        <f>(Inputs!C2-Inputs!D2-Inputs!E2-Inputs!B2)/1000000000</f>
        <v/>
      </c>
      <c r="D5" s="3">
        <f>B5-C5</f>
        <v/>
      </c>
      <c r="E5" s="5">
        <f>D5/C5</f>
        <v/>
      </c>
    </row>
    <row r="6">
      <c r="A6" t="inlineStr">
        <is>
          <t>Assets</t>
        </is>
      </c>
      <c r="B6" s="3">
        <f>Inputs!B3/1000000000</f>
        <v/>
      </c>
      <c r="C6" s="3">
        <f>Inputs!C3/1000000000</f>
        <v/>
      </c>
      <c r="D6" s="3">
        <f>B6-C6</f>
        <v/>
      </c>
      <c r="E6" s="5">
        <f>D6/C6</f>
        <v/>
      </c>
    </row>
    <row r="7">
      <c r="A7" t="inlineStr">
        <is>
          <t>Liabilities</t>
        </is>
      </c>
      <c r="B7" s="3">
        <f>Inputs!B4/1000000000</f>
        <v/>
      </c>
      <c r="C7" s="3">
        <f>Inputs!C4/1000000000</f>
        <v/>
      </c>
      <c r="D7" s="3">
        <f>B7-C7</f>
        <v/>
      </c>
      <c r="E7" s="5">
        <f>D7/C7</f>
        <v/>
      </c>
    </row>
    <row r="8">
      <c r="A8" t="inlineStr">
        <is>
          <t>StockholdersEquity</t>
        </is>
      </c>
      <c r="B8" s="3">
        <f>Inputs!B5/1000000000</f>
        <v/>
      </c>
      <c r="C8" s="3">
        <f>Inputs!C5/1000000000</f>
        <v/>
      </c>
      <c r="D8" s="3">
        <f>B8-C8</f>
        <v/>
      </c>
      <c r="E8" s="5">
        <f>D8/C8</f>
        <v/>
      </c>
    </row>
    <row r="9">
      <c r="A9" t="inlineStr">
        <is>
          <t>Cash</t>
        </is>
      </c>
      <c r="B9" s="3">
        <f>Inputs!B6/1000000000</f>
        <v/>
      </c>
      <c r="C9" s="3">
        <f>Inputs!C6/1000000000</f>
        <v/>
      </c>
      <c r="D9" s="3">
        <f>B9-C9</f>
        <v/>
      </c>
      <c r="E9" s="5">
        <f>D9/C9</f>
        <v/>
      </c>
    </row>
    <row r="10">
      <c r="A10" t="inlineStr">
        <is>
          <t>EPS (Diluted)</t>
        </is>
      </c>
      <c r="B10" s="3">
        <f>Inputs!B7</f>
        <v/>
      </c>
      <c r="C10" s="3">
        <f>(Inputs!C7-Inputs!D7-Inputs!E7-Inputs!B7)</f>
        <v/>
      </c>
      <c r="D10" s="3">
        <f>B10-C10</f>
        <v/>
      </c>
      <c r="E10" s="5">
        <f>D10/C10</f>
        <v/>
      </c>
    </row>
    <row r="12">
      <c r="A12" s="1" t="inlineStr">
        <is>
          <t>YoY Variance (Q1 2026 vs Q1 2025 Run-Rate)</t>
        </is>
      </c>
    </row>
    <row r="13">
      <c r="A13" s="4" t="inlineStr">
        <is>
          <t>Metric</t>
        </is>
      </c>
      <c r="B13" s="4" t="inlineStr">
        <is>
          <t>Q1 2026</t>
        </is>
      </c>
      <c r="C13" s="4" t="inlineStr">
        <is>
          <t>Q1 2025 Proxy (FY/4)</t>
        </is>
      </c>
      <c r="D13" s="4" t="inlineStr">
        <is>
          <t>Abs Variance ($B)</t>
        </is>
      </c>
      <c r="E13" s="4" t="inlineStr">
        <is>
          <t>Pct Change</t>
        </is>
      </c>
    </row>
    <row r="14">
      <c r="A14" t="inlineStr">
        <is>
          <t>NetIncomeLoss</t>
        </is>
      </c>
      <c r="B14" s="3">
        <f>Inputs!B2/1000000000</f>
        <v/>
      </c>
      <c r="C14" s="3">
        <f>(Inputs!C2/4)/1000000000</f>
        <v/>
      </c>
      <c r="D14" s="3">
        <f>B14-C14</f>
        <v/>
      </c>
      <c r="E14" s="5">
        <f>D14/C14</f>
        <v/>
      </c>
    </row>
    <row r="15">
      <c r="A15" t="inlineStr">
        <is>
          <t>Assets</t>
        </is>
      </c>
      <c r="B15" s="3">
        <f>Inputs!B3/1000000000</f>
        <v/>
      </c>
      <c r="C15" s="3">
        <f>(Inputs!C3/4)/1000000000</f>
        <v/>
      </c>
      <c r="D15" s="3">
        <f>B15-C15</f>
        <v/>
      </c>
      <c r="E15" s="5">
        <f>D15/C15</f>
        <v/>
      </c>
    </row>
    <row r="16">
      <c r="A16" t="inlineStr">
        <is>
          <t>Liabilities</t>
        </is>
      </c>
      <c r="B16" s="3">
        <f>Inputs!B4/1000000000</f>
        <v/>
      </c>
      <c r="C16" s="3">
        <f>(Inputs!C4/4)/1000000000</f>
        <v/>
      </c>
      <c r="D16" s="3">
        <f>B16-C16</f>
        <v/>
      </c>
      <c r="E16" s="5">
        <f>D16/C16</f>
        <v/>
      </c>
    </row>
    <row r="17">
      <c r="A17" t="inlineStr">
        <is>
          <t>StockholdersEquity</t>
        </is>
      </c>
      <c r="B17" s="3">
        <f>Inputs!B5/1000000000</f>
        <v/>
      </c>
      <c r="C17" s="3">
        <f>(Inputs!C5/4)/1000000000</f>
        <v/>
      </c>
      <c r="D17" s="3">
        <f>B17-C17</f>
        <v/>
      </c>
      <c r="E17" s="5">
        <f>D17/C17</f>
        <v/>
      </c>
    </row>
    <row r="18">
      <c r="A18" t="inlineStr">
        <is>
          <t>Cash</t>
        </is>
      </c>
      <c r="B18" s="3">
        <f>Inputs!B6/1000000000</f>
        <v/>
      </c>
      <c r="C18" s="3">
        <f>(Inputs!C6/4)/1000000000</f>
        <v/>
      </c>
      <c r="D18" s="3">
        <f>B18-C18</f>
        <v/>
      </c>
      <c r="E18" s="5">
        <f>D18/C18</f>
        <v/>
      </c>
    </row>
    <row r="19">
      <c r="A19" t="inlineStr">
        <is>
          <t>EPS (Diluted)</t>
        </is>
      </c>
      <c r="B19" s="3">
        <f>Inputs!B7</f>
        <v/>
      </c>
      <c r="C19" s="3">
        <f>Inputs!C7/4</f>
        <v/>
      </c>
      <c r="D19" s="3">
        <f>B19-C19</f>
        <v/>
      </c>
      <c r="E19" s="5">
        <f>D19/C19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Key Financial Ratios</t>
        </is>
      </c>
    </row>
    <row r="3">
      <c r="A3" s="4" t="inlineStr">
        <is>
          <t>Metric</t>
        </is>
      </c>
      <c r="B3" s="4" t="inlineStr">
        <is>
          <t>Q1 2026</t>
        </is>
      </c>
      <c r="C3" s="4" t="inlineStr">
        <is>
          <t>FY 2025</t>
        </is>
      </c>
    </row>
    <row r="4">
      <c r="A4" t="inlineStr">
        <is>
          <t>Debt-to-Equity Ratio</t>
        </is>
      </c>
      <c r="B4" s="6">
        <f>Inputs!B4/Inputs!B5</f>
        <v/>
      </c>
      <c r="C4" s="6">
        <f>Inputs!C4/Inputs!C5</f>
        <v/>
      </c>
    </row>
    <row r="5">
      <c r="A5" t="inlineStr">
        <is>
          <t>Cash-to-Assets Ratio</t>
        </is>
      </c>
      <c r="B5" s="5">
        <f>Inputs!B6/Inputs!B3</f>
        <v/>
      </c>
      <c r="C5" s="5">
        <f>Inputs!C6/Inputs!C3</f>
        <v/>
      </c>
    </row>
    <row r="6">
      <c r="A6" t="inlineStr">
        <is>
          <t>Equity-to-Assets Ratio</t>
        </is>
      </c>
      <c r="B6" s="5">
        <f>Inputs!B5/Inputs!B3</f>
        <v/>
      </c>
      <c r="C6" s="5">
        <f>Inputs!C5/Inputs!C3</f>
        <v/>
      </c>
    </row>
    <row r="8">
      <c r="A8" s="4" t="inlineStr">
        <is>
          <t>Return on Equity (Annualized)</t>
        </is>
      </c>
    </row>
    <row r="9">
      <c r="A9" t="inlineStr">
        <is>
          <t>Net Income Q1 2026 (annualized)</t>
        </is>
      </c>
      <c r="B9" s="2">
        <f>Inputs!B2*4</f>
        <v/>
      </c>
    </row>
    <row r="10">
      <c r="A10" t="inlineStr">
        <is>
          <t>Average Stockholders' Equity</t>
        </is>
      </c>
      <c r="B10" s="2">
        <f>(Inputs!B5+Inputs!C5)/2</f>
        <v/>
      </c>
    </row>
    <row r="11">
      <c r="A11" t="inlineStr">
        <is>
          <t>ROE (Annualized)</t>
        </is>
      </c>
      <c r="B11" s="5">
        <f>B9/B10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Q1 2026 Performance Summary</t>
        </is>
      </c>
    </row>
    <row r="3">
      <c r="A3" s="4" t="inlineStr">
        <is>
          <t>Key Findings:</t>
        </is>
      </c>
    </row>
    <row r="4">
      <c r="A4" t="inlineStr">
        <is>
          <t>- Total assets grew 13.86% QoQ from $1,809.32B to $2,060.18B, indicating significant balance sheet expansion.</t>
        </is>
      </c>
    </row>
    <row r="5">
      <c r="A5" t="inlineStr">
        <is>
          <t>- Net income of $5.63B in Q1 2026 was driven by strong quarterly performance relative to the derived Q4 2025 figure of -$3.84B.</t>
        </is>
      </c>
    </row>
    <row r="6">
      <c r="A6" t="inlineStr">
        <is>
          <t>- Debt-to-Equity ratio increased from 13.48x (FY 2025) to 15.78x (Q1 2026), reflecting higher leverage as liabilities grew faster than equity.</t>
        </is>
      </c>
    </row>
    <row r="7">
      <c r="A7" t="inlineStr">
        <is>
          <t>- Cash position increased by $15.27B (9.30%) to $179.53B, improving liquidity coverage.</t>
        </is>
      </c>
    </row>
    <row r="8">
      <c r="A8" t="inlineStr">
        <is>
          <t>- Annualized Return on Equity stands at 18.23%, indicating solid profitability relative to equity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2026-05-13T17:52:53Z</dcterms:created>
  <dcterms:modified xmlns:dcterms="http://purl.org/dc/terms/" xmlns:xsi="http://www.w3.org/2001/XMLSchema-instance" xsi:type="dcterms:W3CDTF">2026-05-13T17:52:53Z</dcterms:modified>
</cp:coreProperties>
</file>