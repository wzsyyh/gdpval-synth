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Analysis" sheetId="1" state="visible" r:id="rId1"/>
    <sheet xmlns:r="http://schemas.openxmlformats.org/officeDocument/2006/relationships" name="Profitability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EPS Analysis" sheetId="4" state="visible" r:id="rId4"/>
    <sheet xmlns:r="http://schemas.openxmlformats.org/officeDocument/2006/relationships" name="Summary 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164" fontId="0" fillId="3" borderId="0" pivotButton="0" quotePrefix="0" xfId="0"/>
    <xf numFmtId="164" fontId="0" fillId="4" borderId="0" pivotButton="0" quotePrefix="0" xfId="0"/>
    <xf numFmtId="10" fontId="0" fillId="4" borderId="0" pivotButton="0" quotePrefix="0" xfId="0"/>
    <xf numFmtId="2" fontId="0" fillId="3" borderId="0" pivotButton="0" quotePrefix="0" xfId="0"/>
    <xf numFmtId="2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Walt Disney Co. (DIS) - Revenue Variance Analysis</t>
        </is>
      </c>
    </row>
    <row r="3">
      <c r="A3" s="1" t="inlineStr">
        <is>
          <t>Period</t>
        </is>
      </c>
      <c r="B3" s="1" t="inlineStr">
        <is>
          <t>Revenue ($M)</t>
        </is>
      </c>
      <c r="C3" s="1" t="inlineStr">
        <is>
          <t>QoQ Change ($M)</t>
        </is>
      </c>
      <c r="D3" s="1" t="inlineStr">
        <is>
          <t>QoQ Change (%)</t>
        </is>
      </c>
    </row>
    <row r="4">
      <c r="A4" s="2" t="inlineStr">
        <is>
          <t>Q2 FY2026</t>
        </is>
      </c>
      <c r="B4" s="3" t="n">
        <v>25168</v>
      </c>
      <c r="C4" s="4">
        <f>B4-B5</f>
        <v/>
      </c>
      <c r="D4" s="5">
        <f>C4/B5</f>
        <v/>
      </c>
    </row>
    <row r="5">
      <c r="A5" s="2" t="inlineStr">
        <is>
          <t>Q1 FY2026</t>
        </is>
      </c>
      <c r="B5" s="3" t="n">
        <v>25981</v>
      </c>
    </row>
    <row r="7">
      <c r="A7" s="2" t="inlineStr">
        <is>
          <t>FY2025 Full Year</t>
        </is>
      </c>
      <c r="B7" s="3" t="n">
        <v>94425</v>
      </c>
    </row>
    <row r="8">
      <c r="A8" s="2" t="inlineStr">
        <is>
          <t>Q3 FY2025</t>
        </is>
      </c>
      <c r="B8" s="3" t="n">
        <v>71961</v>
      </c>
      <c r="C8" s="4">
        <f>B8*4</f>
        <v/>
      </c>
      <c r="D8" s="2" t="inlineStr">
        <is>
          <t>Annualized Run-Rate</t>
        </is>
      </c>
    </row>
    <row r="9">
      <c r="A9" s="2" t="inlineStr">
        <is>
          <t>SG&amp;A Q2 FY2026</t>
        </is>
      </c>
      <c r="B9" s="3" t="n">
        <v>4073</v>
      </c>
    </row>
    <row r="10">
      <c r="A10" s="2" t="inlineStr">
        <is>
          <t>SG&amp;A Q1 FY2026</t>
        </is>
      </c>
      <c r="B10" s="3" t="n">
        <v>4121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Walt Disney Co. (DIS) - Profitability Analysis</t>
        </is>
      </c>
    </row>
    <row r="3">
      <c r="A3" s="1" t="inlineStr">
        <is>
          <t>Metric</t>
        </is>
      </c>
      <c r="B3" s="1" t="inlineStr">
        <is>
          <t>Q2 FY2026</t>
        </is>
      </c>
      <c r="C3" s="1" t="inlineStr">
        <is>
          <t>Q1 FY2026</t>
        </is>
      </c>
      <c r="D3" s="1" t="inlineStr">
        <is>
          <t>QoQ Change ($M)</t>
        </is>
      </c>
      <c r="E3" s="1" t="inlineStr">
        <is>
          <t>QoQ Change (%)</t>
        </is>
      </c>
    </row>
    <row r="4">
      <c r="A4" s="2" t="inlineStr">
        <is>
          <t>Operating Income</t>
        </is>
      </c>
      <c r="B4" s="3" t="n">
        <v>4603</v>
      </c>
      <c r="C4" s="3" t="n">
        <v>4600</v>
      </c>
      <c r="D4" s="4">
        <f>B4-C4</f>
        <v/>
      </c>
      <c r="E4" s="5">
        <f>D4/C4</f>
        <v/>
      </c>
    </row>
    <row r="5">
      <c r="A5" s="2" t="inlineStr">
        <is>
          <t>Net Income</t>
        </is>
      </c>
      <c r="B5" s="3" t="n">
        <v>2247</v>
      </c>
      <c r="C5" s="3" t="n">
        <v>2402</v>
      </c>
      <c r="D5" s="4">
        <f>B5-C5</f>
        <v/>
      </c>
      <c r="E5" s="5">
        <f>D5/C5</f>
        <v/>
      </c>
    </row>
    <row r="6">
      <c r="A6" s="2" t="inlineStr">
        <is>
          <t>Operating Margin</t>
        </is>
      </c>
      <c r="B6" s="5">
        <f>B4/B4_sheet1</f>
        <v/>
      </c>
      <c r="C6" s="5">
        <f>C4/C5_sheet1</f>
        <v/>
      </c>
    </row>
    <row r="7">
      <c r="A7" s="2" t="inlineStr">
        <is>
          <t>Net Margin</t>
        </is>
      </c>
      <c r="B7" s="5">
        <f>B5/B4_sheet1</f>
        <v/>
      </c>
      <c r="C7" s="5">
        <f>C5/C5_sheet1</f>
        <v/>
      </c>
    </row>
    <row r="9">
      <c r="A9" s="1" t="inlineStr">
        <is>
          <t>FY2025 Reference</t>
        </is>
      </c>
      <c r="B9" s="2" t="inlineStr">
        <is>
          <t>FY2025 Operating Income</t>
        </is>
      </c>
      <c r="C9" s="3" t="n">
        <v>17551</v>
      </c>
    </row>
    <row r="10">
      <c r="B10" s="2" t="inlineStr">
        <is>
          <t>FY2025 Net Income</t>
        </is>
      </c>
      <c r="C10" s="3" t="n">
        <v>12404</v>
      </c>
    </row>
    <row r="11">
      <c r="B11" s="2" t="inlineStr">
        <is>
          <t>FY2025 Operating Margin</t>
        </is>
      </c>
      <c r="C11" s="5">
        <f>C9/94425</f>
        <v/>
      </c>
    </row>
    <row r="12">
      <c r="B12" s="2" t="inlineStr">
        <is>
          <t>FY2025 Net Margin</t>
        </is>
      </c>
      <c r="C12" s="5">
        <f>C10/94425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Walt Disney Co. (DIS) - Balance Sheet Analysis</t>
        </is>
      </c>
    </row>
    <row r="3">
      <c r="A3" s="1" t="inlineStr">
        <is>
          <t>Metric</t>
        </is>
      </c>
      <c r="B3" s="1" t="inlineStr">
        <is>
          <t>Q2 FY2026</t>
        </is>
      </c>
      <c r="C3" s="1" t="inlineStr">
        <is>
          <t>Q1 FY2026</t>
        </is>
      </c>
      <c r="D3" s="1" t="inlineStr">
        <is>
          <t>FY2025</t>
        </is>
      </c>
      <c r="E3" s="1" t="inlineStr">
        <is>
          <t>QoQ Change</t>
        </is>
      </c>
    </row>
    <row r="4">
      <c r="A4" s="2" t="inlineStr">
        <is>
          <t>Total Assets</t>
        </is>
      </c>
      <c r="B4" s="3" t="n">
        <v>205217</v>
      </c>
      <c r="C4" s="3" t="n">
        <v>202089</v>
      </c>
      <c r="D4" s="3" t="n">
        <v>197514</v>
      </c>
      <c r="E4" s="4">
        <f>B4-C4</f>
        <v/>
      </c>
    </row>
    <row r="5">
      <c r="A5" s="2" t="inlineStr">
        <is>
          <t>Stockholders' Equity</t>
        </is>
      </c>
      <c r="B5" s="3" t="n">
        <v>108708</v>
      </c>
      <c r="C5" s="3" t="n">
        <v>108476</v>
      </c>
      <c r="D5" s="3" t="n">
        <v>109869</v>
      </c>
      <c r="E5" s="4">
        <f>B5-C5</f>
        <v/>
      </c>
    </row>
    <row r="6">
      <c r="A6" s="2" t="inlineStr">
        <is>
          <t>Cash and Cash Equivalents</t>
        </is>
      </c>
      <c r="B6" s="3" t="n">
        <v>5682</v>
      </c>
      <c r="C6" s="3" t="n">
        <v>5678</v>
      </c>
      <c r="D6" s="3" t="n">
        <v>5695</v>
      </c>
      <c r="E6" s="4">
        <f>B6-C6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Walt Disney Co. (DIS) - EPS Analysis</t>
        </is>
      </c>
    </row>
    <row r="3">
      <c r="A3" s="1" t="inlineStr">
        <is>
          <t>Period</t>
        </is>
      </c>
      <c r="B3" s="1" t="inlineStr">
        <is>
          <t>Diluted EPS ($)</t>
        </is>
      </c>
      <c r="C3" s="1" t="inlineStr">
        <is>
          <t>QoQ Change ($)</t>
        </is>
      </c>
      <c r="D3" s="1" t="inlineStr">
        <is>
          <t>QoQ Change (%)</t>
        </is>
      </c>
    </row>
    <row r="4">
      <c r="A4" s="2" t="inlineStr">
        <is>
          <t>Q2 FY2026</t>
        </is>
      </c>
      <c r="B4" s="6" t="n">
        <v>1.27</v>
      </c>
      <c r="C4" s="7">
        <f>B4-B5</f>
        <v/>
      </c>
      <c r="D4" s="5">
        <f>C4/B5</f>
        <v/>
      </c>
    </row>
    <row r="5">
      <c r="A5" s="2" t="inlineStr">
        <is>
          <t>Q1 FY2026</t>
        </is>
      </c>
      <c r="B5" s="6" t="n">
        <v>1.34</v>
      </c>
    </row>
    <row r="7">
      <c r="A7" s="2" t="inlineStr">
        <is>
          <t>FY2025 Full Year</t>
        </is>
      </c>
      <c r="B7" s="6" t="n">
        <v>6.85</v>
      </c>
    </row>
    <row r="8">
      <c r="A8" s="2" t="inlineStr">
        <is>
          <t>Q3 FY2025</t>
        </is>
      </c>
      <c r="B8" s="6" t="n">
        <v>6.12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Walt Disney Co. (DIS) - Executive Summary Dashboard</t>
        </is>
      </c>
    </row>
    <row r="3">
      <c r="A3" s="1" t="inlineStr">
        <is>
          <t>Key Metric</t>
        </is>
      </c>
      <c r="B3" s="1" t="inlineStr">
        <is>
          <t>Q2 FY2026</t>
        </is>
      </c>
      <c r="C3" s="1" t="inlineStr">
        <is>
          <t>Q1 FY2026</t>
        </is>
      </c>
      <c r="D3" s="1" t="inlineStr">
        <is>
          <t>FY2025</t>
        </is>
      </c>
      <c r="E3" s="1" t="inlineStr">
        <is>
          <t>QoQ Variance</t>
        </is>
      </c>
    </row>
    <row r="4">
      <c r="A4" s="2" t="inlineStr">
        <is>
          <t>Revenue ($M)</t>
        </is>
      </c>
      <c r="B4" s="4">
        <f>'Revenue Analysis'!B4</f>
        <v/>
      </c>
      <c r="C4" s="4">
        <f>'Revenue Analysis'!B5</f>
        <v/>
      </c>
      <c r="D4" s="4">
        <f>'Revenue Analysis'!B7</f>
        <v/>
      </c>
      <c r="E4" s="4">
        <f>B4-C4</f>
        <v/>
      </c>
    </row>
    <row r="5">
      <c r="A5" s="2" t="inlineStr">
        <is>
          <t>Operating Income ($M)</t>
        </is>
      </c>
      <c r="B5" s="4">
        <f>'Profitability'!B4</f>
        <v/>
      </c>
      <c r="C5" s="4">
        <f>'Profitability'!C4</f>
        <v/>
      </c>
      <c r="D5" s="4">
        <f>'Profitability'!C9</f>
        <v/>
      </c>
      <c r="E5" s="4">
        <f>B5-C5</f>
        <v/>
      </c>
    </row>
    <row r="6">
      <c r="A6" s="2" t="inlineStr">
        <is>
          <t>Net Income ($M)</t>
        </is>
      </c>
      <c r="B6" s="4">
        <f>'Profitability'!B5</f>
        <v/>
      </c>
      <c r="C6" s="4">
        <f>'Profitability'!C5</f>
        <v/>
      </c>
      <c r="D6" s="4">
        <f>'Profitability'!C10</f>
        <v/>
      </c>
      <c r="E6" s="4">
        <f>B6-C6</f>
        <v/>
      </c>
    </row>
    <row r="7">
      <c r="A7" s="2" t="inlineStr">
        <is>
          <t>Operating Margin</t>
        </is>
      </c>
      <c r="B7" s="5">
        <f>'Profitability'!B6</f>
        <v/>
      </c>
      <c r="C7" s="5">
        <f>'Profitability'!C6</f>
        <v/>
      </c>
      <c r="D7" s="5">
        <f>'Profitability'!C11</f>
        <v/>
      </c>
      <c r="E7" s="5">
        <f>B7-C7</f>
        <v/>
      </c>
    </row>
    <row r="8">
      <c r="A8" s="2" t="inlineStr">
        <is>
          <t>Net Margin</t>
        </is>
      </c>
      <c r="B8" s="5">
        <f>'Profitability'!B7</f>
        <v/>
      </c>
      <c r="C8" s="5">
        <f>'Profitability'!C7</f>
        <v/>
      </c>
      <c r="D8" s="5">
        <f>'Profitability'!C12</f>
        <v/>
      </c>
      <c r="E8" s="5">
        <f>B8-C8</f>
        <v/>
      </c>
    </row>
    <row r="9">
      <c r="A9" s="2" t="inlineStr">
        <is>
          <t>Diluted EPS</t>
        </is>
      </c>
      <c r="B9" s="7">
        <f>'EPS Analysis'!B4</f>
        <v/>
      </c>
      <c r="C9" s="7">
        <f>'EPS Analysis'!B5</f>
        <v/>
      </c>
      <c r="D9" s="7">
        <f>'EPS Analysis'!B7</f>
        <v/>
      </c>
      <c r="E9" s="7">
        <f>B9-C9</f>
        <v/>
      </c>
    </row>
    <row r="10">
      <c r="A10" s="2" t="inlineStr">
        <is>
          <t>Total Assets ($M)</t>
        </is>
      </c>
      <c r="B10" s="4">
        <f>'Balance Sheet'!B4</f>
        <v/>
      </c>
      <c r="C10" s="4">
        <f>'Balance Sheet'!C4</f>
        <v/>
      </c>
      <c r="D10" s="4">
        <f>'Balance Sheet'!D4</f>
        <v/>
      </c>
      <c r="E10" s="4">
        <f>B10-C10</f>
        <v/>
      </c>
    </row>
    <row r="11">
      <c r="A11" s="2" t="inlineStr">
        <is>
          <t>Stockholders' Equity ($M)</t>
        </is>
      </c>
      <c r="B11" s="4">
        <f>'Balance Sheet'!B5</f>
        <v/>
      </c>
      <c r="C11" s="4">
        <f>'Balance Sheet'!C5</f>
        <v/>
      </c>
      <c r="D11" s="4">
        <f>'Balance Sheet'!D5</f>
        <v/>
      </c>
      <c r="E11" s="4">
        <f>B11-C11</f>
        <v/>
      </c>
    </row>
    <row r="12">
      <c r="A12" s="2" t="inlineStr">
        <is>
          <t>Cash ($M)</t>
        </is>
      </c>
      <c r="B12" s="4">
        <f>'Balance Sheet'!B6</f>
        <v/>
      </c>
      <c r="C12" s="4">
        <f>'Balance Sheet'!C6</f>
        <v/>
      </c>
      <c r="D12" s="4">
        <f>'Balance Sheet'!D6</f>
        <v/>
      </c>
      <c r="E12" s="4">
        <f>B12-C12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2026-05-13T19:07:16Z</dcterms:created>
  <dcterms:modified xmlns:dcterms="http://purl.org/dc/terms/" xmlns:xsi="http://www.w3.org/2001/XMLSchema-instance" xsi:type="dcterms:W3CDTF">2026-05-13T19:07:16Z</dcterms:modified>
</cp:coreProperties>
</file>