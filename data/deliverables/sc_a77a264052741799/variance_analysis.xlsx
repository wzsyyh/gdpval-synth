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Data" sheetId="1" state="visible" r:id="rId1"/>
    <sheet xmlns:r="http://schemas.openxmlformats.org/officeDocument/2006/relationships" name="Variance Analysis" sheetId="2" state="visible" r:id="rId2"/>
    <sheet xmlns:r="http://schemas.openxmlformats.org/officeDocument/2006/relationships" name="Key Ratios" sheetId="3" state="visible" r:id="rId3"/>
    <sheet xmlns:r="http://schemas.openxmlformats.org/officeDocument/2006/relationships" name="Comment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164" fontId="0" fillId="3" borderId="0" pivotButton="0" quotePrefix="0" xfId="0"/>
    <xf numFmtId="4" fontId="0" fillId="3" borderId="0" pivotButton="0" quotePrefix="0" xfId="0"/>
    <xf numFmtId="16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Deere &amp; Co. (DE) — Financial Data Extract</t>
        </is>
      </c>
    </row>
    <row r="3">
      <c r="A3" s="1" t="inlineStr">
        <is>
          <t>Metric</t>
        </is>
      </c>
      <c r="B3" s="1" t="inlineStr">
        <is>
          <t>Q1 2026</t>
        </is>
      </c>
      <c r="C3" s="1" t="inlineStr">
        <is>
          <t>FY 2025</t>
        </is>
      </c>
      <c r="D3" s="1" t="inlineStr">
        <is>
          <t>Q3 2025</t>
        </is>
      </c>
      <c r="E3" s="1" t="inlineStr">
        <is>
          <t>Q2 2025</t>
        </is>
      </c>
    </row>
    <row r="4">
      <c r="A4" t="inlineStr">
        <is>
          <t>Revenue ($M)</t>
        </is>
      </c>
      <c r="B4" s="2" t="n">
        <v>9611</v>
      </c>
      <c r="C4" s="2" t="n">
        <v>45684</v>
      </c>
      <c r="D4" s="2" t="n">
        <v>12018</v>
      </c>
      <c r="E4" s="2" t="n">
        <v>21272</v>
      </c>
    </row>
    <row r="5">
      <c r="A5" t="inlineStr">
        <is>
          <t>Net Income ($M)</t>
        </is>
      </c>
      <c r="B5" s="2" t="n">
        <v>656</v>
      </c>
      <c r="C5" s="2" t="n">
        <v>5027</v>
      </c>
      <c r="D5" s="2" t="n">
        <v>1289</v>
      </c>
      <c r="E5" s="2" t="n">
        <v>2673</v>
      </c>
    </row>
    <row r="6">
      <c r="A6" t="inlineStr">
        <is>
          <t>R&amp;D Expense ($M)</t>
        </is>
      </c>
      <c r="B6" s="2" t="n">
        <v>554</v>
      </c>
      <c r="C6" s="2" t="n">
        <v>2311</v>
      </c>
      <c r="D6" s="2" t="n">
        <v>556</v>
      </c>
      <c r="E6" s="2" t="n">
        <v>1075</v>
      </c>
    </row>
    <row r="7">
      <c r="A7" t="inlineStr">
        <is>
          <t>SG&amp;A Expense ($M)</t>
        </is>
      </c>
      <c r="B7" s="2" t="n">
        <v>972</v>
      </c>
      <c r="C7" s="2" t="n">
        <v>4663</v>
      </c>
      <c r="D7" s="2" t="n">
        <v>1217</v>
      </c>
      <c r="E7" s="2" t="n">
        <v>2169</v>
      </c>
    </row>
    <row r="9">
      <c r="A9" s="1" t="inlineStr">
        <is>
          <t>Balance Sheet</t>
        </is>
      </c>
    </row>
    <row r="10">
      <c r="A10" t="inlineStr">
        <is>
          <t>Total Assets ($M)</t>
        </is>
      </c>
      <c r="B10" s="2" t="n">
        <v>103436</v>
      </c>
      <c r="C10" s="2" t="n">
        <v>105996</v>
      </c>
      <c r="D10" s="2" t="n">
        <v>107817</v>
      </c>
      <c r="E10" s="2" t="n">
        <v>106303</v>
      </c>
    </row>
    <row r="11">
      <c r="A11" t="inlineStr">
        <is>
          <t>Total Liabilities ($M)</t>
        </is>
      </c>
      <c r="B11" s="2" t="n">
        <v>77079</v>
      </c>
      <c r="C11" s="2" t="n">
        <v>79989</v>
      </c>
      <c r="D11" s="2" t="n">
        <v>82553</v>
      </c>
      <c r="E11" s="2" t="n">
        <v>81925</v>
      </c>
    </row>
    <row r="12">
      <c r="A12" t="inlineStr">
        <is>
          <t>Stockholders' Equity ($M)</t>
        </is>
      </c>
      <c r="B12" s="2" t="n">
        <v>26300</v>
      </c>
      <c r="C12" s="2" t="n">
        <v>25950</v>
      </c>
      <c r="D12" s="2" t="n">
        <v>25175</v>
      </c>
      <c r="E12" s="2" t="n">
        <v>24287</v>
      </c>
    </row>
    <row r="13">
      <c r="A13" t="inlineStr">
        <is>
          <t>Cash &amp; Equivalents ($M)</t>
        </is>
      </c>
      <c r="B13" s="2" t="n">
        <v>6798</v>
      </c>
      <c r="C13" s="2" t="n">
        <v>8276</v>
      </c>
      <c r="D13" s="2" t="n">
        <v>8580</v>
      </c>
      <c r="E13" s="2" t="n">
        <v>7991</v>
      </c>
    </row>
    <row r="15">
      <c r="A15" s="1" t="inlineStr">
        <is>
          <t>Diluted EPS</t>
        </is>
      </c>
    </row>
    <row r="16">
      <c r="A16" t="inlineStr">
        <is>
          <t>Diluted EPS ($)</t>
        </is>
      </c>
      <c r="B16" s="3" t="n">
        <v>2.42</v>
      </c>
      <c r="C16" s="3" t="n">
        <v>18.5</v>
      </c>
      <c r="D16" s="3" t="n">
        <v>4.75</v>
      </c>
      <c r="E16" s="3" t="n">
        <v>9.82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12" customWidth="1" min="5" max="5"/>
    <col width="15" customWidth="1" min="6" max="6"/>
    <col width="15" customWidth="1" min="7" max="7"/>
    <col width="12" customWidth="1" min="8" max="8"/>
    <col width="15" customWidth="1" min="9" max="9"/>
    <col width="15" customWidth="1" min="10" max="10"/>
    <col width="12" customWidth="1" min="11" max="11"/>
  </cols>
  <sheetData>
    <row r="1">
      <c r="A1" s="1" t="inlineStr">
        <is>
          <t>Deere &amp; Co. (DE) — Quarterly Variance Analysis</t>
        </is>
      </c>
    </row>
    <row r="3">
      <c r="A3" s="1" t="inlineStr">
        <is>
          <t>Metric</t>
        </is>
      </c>
      <c r="B3" s="1" t="inlineStr">
        <is>
          <t>Q1 2026</t>
        </is>
      </c>
      <c r="C3" s="1" t="inlineStr">
        <is>
          <t>FY25 Qtrly Avg</t>
        </is>
      </c>
      <c r="D3" s="1" t="inlineStr">
        <is>
          <t>Var ($M)</t>
        </is>
      </c>
      <c r="E3" s="1" t="inlineStr">
        <is>
          <t>Var (%)</t>
        </is>
      </c>
      <c r="F3" s="1" t="inlineStr">
        <is>
          <t>Q3 2025</t>
        </is>
      </c>
      <c r="G3" s="1" t="inlineStr">
        <is>
          <t>Var ($M)</t>
        </is>
      </c>
      <c r="H3" s="1" t="inlineStr">
        <is>
          <t>Var (%)</t>
        </is>
      </c>
      <c r="I3" s="1" t="inlineStr">
        <is>
          <t>Q2 2025</t>
        </is>
      </c>
      <c r="J3" s="1" t="inlineStr">
        <is>
          <t>Var ($M)</t>
        </is>
      </c>
      <c r="K3" s="1" t="inlineStr">
        <is>
          <t>Var (%)</t>
        </is>
      </c>
    </row>
    <row r="4">
      <c r="A4" t="inlineStr">
        <is>
          <t>Revenue ($M)</t>
        </is>
      </c>
      <c r="B4" s="2" t="n">
        <v>9611</v>
      </c>
      <c r="C4" s="4">
        <f>Input Data!C4/4</f>
        <v/>
      </c>
      <c r="D4" s="4">
        <f>B4-C4</f>
        <v/>
      </c>
      <c r="E4" s="5">
        <f>D4/C4</f>
        <v/>
      </c>
      <c r="F4" s="2" t="n">
        <v>12018</v>
      </c>
      <c r="G4" s="4">
        <f>B4-F4</f>
        <v/>
      </c>
      <c r="H4" s="5">
        <f>G4/F4</f>
        <v/>
      </c>
      <c r="I4" s="2" t="n">
        <v>21272</v>
      </c>
      <c r="J4" s="4">
        <f>B4-I4</f>
        <v/>
      </c>
      <c r="K4" s="5">
        <f>J4/I4</f>
        <v/>
      </c>
    </row>
    <row r="5">
      <c r="A5" t="inlineStr">
        <is>
          <t>Net Income ($M)</t>
        </is>
      </c>
      <c r="B5" s="2" t="n">
        <v>656</v>
      </c>
      <c r="C5" s="4">
        <f>Input Data!C5/4</f>
        <v/>
      </c>
      <c r="D5" s="4">
        <f>B5-C5</f>
        <v/>
      </c>
      <c r="E5" s="5">
        <f>D5/C5</f>
        <v/>
      </c>
      <c r="F5" s="2" t="n">
        <v>1289</v>
      </c>
      <c r="G5" s="4">
        <f>B5-F5</f>
        <v/>
      </c>
      <c r="H5" s="5">
        <f>G5/F5</f>
        <v/>
      </c>
      <c r="I5" s="2" t="n">
        <v>2673</v>
      </c>
      <c r="J5" s="4">
        <f>B5-I5</f>
        <v/>
      </c>
      <c r="K5" s="5">
        <f>J5/I5</f>
        <v/>
      </c>
    </row>
    <row r="6">
      <c r="A6" t="inlineStr">
        <is>
          <t>R&amp;D Expense ($M)</t>
        </is>
      </c>
      <c r="B6" s="2" t="n">
        <v>554</v>
      </c>
      <c r="C6" s="4">
        <f>Input Data!C6/4</f>
        <v/>
      </c>
      <c r="D6" s="4">
        <f>B6-C6</f>
        <v/>
      </c>
      <c r="E6" s="5">
        <f>D6/C6</f>
        <v/>
      </c>
      <c r="F6" s="2" t="n">
        <v>556</v>
      </c>
      <c r="G6" s="4">
        <f>B6-F6</f>
        <v/>
      </c>
      <c r="H6" s="5">
        <f>G6/F6</f>
        <v/>
      </c>
      <c r="I6" s="2" t="n">
        <v>1075</v>
      </c>
      <c r="J6" s="4">
        <f>B6-I6</f>
        <v/>
      </c>
      <c r="K6" s="5">
        <f>J6/I6</f>
        <v/>
      </c>
    </row>
    <row r="7">
      <c r="A7" t="inlineStr">
        <is>
          <t>SG&amp;A Expense ($M)</t>
        </is>
      </c>
      <c r="B7" s="2" t="n">
        <v>972</v>
      </c>
      <c r="C7" s="4">
        <f>Input Data!C7/4</f>
        <v/>
      </c>
      <c r="D7" s="4">
        <f>B7-C7</f>
        <v/>
      </c>
      <c r="E7" s="5">
        <f>D7/C7</f>
        <v/>
      </c>
      <c r="F7" s="2" t="n">
        <v>1217</v>
      </c>
      <c r="G7" s="4">
        <f>B7-F7</f>
        <v/>
      </c>
      <c r="H7" s="5">
        <f>G7/F7</f>
        <v/>
      </c>
      <c r="I7" s="2" t="n">
        <v>2169</v>
      </c>
      <c r="J7" s="4">
        <f>B7-I7</f>
        <v/>
      </c>
      <c r="K7" s="5">
        <f>J7/I7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1" t="inlineStr">
        <is>
          <t>Deere &amp; Co. (DE) — Key Financial Ratios</t>
        </is>
      </c>
    </row>
    <row r="3">
      <c r="A3" s="1" t="inlineStr">
        <is>
          <t>Ratio</t>
        </is>
      </c>
      <c r="B3" s="1" t="inlineStr">
        <is>
          <t>Q1 2026</t>
        </is>
      </c>
      <c r="C3" s="1" t="inlineStr">
        <is>
          <t>FY 2025</t>
        </is>
      </c>
    </row>
    <row r="4">
      <c r="A4" t="inlineStr">
        <is>
          <t>Net Profit Margin</t>
        </is>
      </c>
      <c r="B4" s="5">
        <f>'Input Data'!B5/'Input Data'!B4</f>
        <v/>
      </c>
      <c r="C4" s="5">
        <f>'Input Data'!C5/'Input Data'!C4</f>
        <v/>
      </c>
    </row>
    <row r="5">
      <c r="A5" t="inlineStr">
        <is>
          <t>R&amp;D as % of Revenue</t>
        </is>
      </c>
      <c r="B5" s="5">
        <f>'Input Data'!B6/'Input Data'!B4</f>
        <v/>
      </c>
      <c r="C5" s="5">
        <f>'Input Data'!C6/'Input Data'!C4</f>
        <v/>
      </c>
    </row>
    <row r="6">
      <c r="A6" t="inlineStr">
        <is>
          <t>SG&amp;A as % of Revenue</t>
        </is>
      </c>
      <c r="B6" s="5">
        <f>'Input Data'!B7/'Input Data'!B4</f>
        <v/>
      </c>
      <c r="C6" s="5">
        <f>'Input Data'!C7/'Input Data'!C4</f>
        <v/>
      </c>
    </row>
    <row r="7">
      <c r="A7" t="inlineStr">
        <is>
          <t>Debt-to-Equity</t>
        </is>
      </c>
      <c r="B7" s="6">
        <f>'Input Data'!B11/'Input Data'!B12</f>
        <v/>
      </c>
      <c r="C7" s="6">
        <f>'Input Data'!C11/'Input Data'!C12</f>
        <v/>
      </c>
    </row>
    <row r="8">
      <c r="A8" t="inlineStr">
        <is>
          <t>Cash as % of Total Assets</t>
        </is>
      </c>
      <c r="B8" s="5">
        <f>'Input Data'!B13/'Input Data'!B10</f>
        <v/>
      </c>
      <c r="C8" s="5">
        <f>'Input Data'!C13/'Input Data'!C10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Deere &amp; Co. (DE) — Q1 FY2026 Variance Commentary</t>
        </is>
      </c>
    </row>
    <row r="3">
      <c r="A3" s="7" t="inlineStr">
        <is>
          <t>Executive Summary</t>
        </is>
      </c>
    </row>
    <row r="4">
      <c r="A4" t="inlineStr">
        <is>
          <t>This memo summarizes the three most significant findings from the Q1 FY2026 variance analysis relative to FY2025 averages and prior quarter trends.</t>
        </is>
      </c>
    </row>
    <row r="6">
      <c r="A6" s="7" t="inlineStr">
        <is>
          <t>Finding 1: Revenue Decline vs. Prior Quarters</t>
        </is>
      </c>
    </row>
    <row r="7">
      <c r="A7" t="inlineStr">
        <is>
          <t>Q1 2026 revenue of $9,611.0M represents a significant decline compared to Q3 2025 ($12,018.0M, -$2,407.0M or -20.03%) and Q2 2025 ($21,272.0M, -$11,661.0M or -54.82%). This seasonal pattern is typical for Deere's agricultural equipment business, where Q1 (Nov-Jan) historically reflects lower activity.</t>
        </is>
      </c>
    </row>
    <row r="9">
      <c r="A9" s="7" t="inlineStr">
        <is>
          <t>Finding 2: Net Income Compression</t>
        </is>
      </c>
    </row>
    <row r="10">
      <c r="A10" t="inlineStr">
        <is>
          <t>Net income of $656.0M in Q1 2026 declined 49.11% versus Q3 2025 ($1,289.0M) and 75.46% versus Q2 2025 ($2,673.0M). Compared to the FY2025 quarterly average of $1,256.8M, Q1 net income was $500.8M below the run rate. The Net Profit Margin in Q1 2026 was 6.83% versus 11.00% for FY2025.</t>
        </is>
      </c>
    </row>
    <row r="12">
      <c r="A12" s="7" t="inlineStr">
        <is>
          <t>Finding 3: Operating Leverage and Cost Management</t>
        </is>
      </c>
    </row>
    <row r="13">
      <c r="A13" t="inlineStr">
        <is>
          <t>R&amp;D spending of $554.0M in Q1 2026 was essentially flat versus Q3 2025 ($556.0M, -$2.0M or -0.36%) but 48.45% below Q2 2025 ($1,075.0M). SG&amp;A of $972.0M was $245.0M below Q3 2025 and $1,197.0M below Q2 2025, demonstrating cost discipline as revenue declined. R&amp;D as a percentage of revenue was 5.76% in Q1 2026 versus 5.06% for FY2025, indicating continued strategic investment despite lower volumes.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2026-05-13T18:49:12Z</dcterms:created>
  <dcterms:modified xmlns:dcterms="http://purl.org/dc/terms/" xmlns:xsi="http://www.w3.org/2001/XMLSchema-instance" xsi:type="dcterms:W3CDTF">2026-05-13T18:49:12Z</dcterms:modified>
</cp:coreProperties>
</file>