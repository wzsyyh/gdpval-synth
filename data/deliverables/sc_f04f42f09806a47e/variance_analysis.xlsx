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6 Variance" sheetId="1" state="visible" r:id="rId1"/>
    <sheet xmlns:r="http://schemas.openxmlformats.org/officeDocument/2006/relationships" name="Trend Summary" sheetId="2" state="visible" r:id="rId2"/>
    <sheet xmlns:r="http://schemas.openxmlformats.org/officeDocument/2006/relationships" name="Key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Uber Technologies, Inc. — Q1 2026 Quarterly Variance Analysis</t>
        </is>
      </c>
    </row>
    <row r="3">
      <c r="A3" t="inlineStr">
        <is>
          <t>Metric</t>
        </is>
      </c>
      <c r="B3" t="inlineStr">
        <is>
          <t>Q1 2026</t>
        </is>
      </c>
      <c r="C3" t="inlineStr">
        <is>
          <t>Q3 2025</t>
        </is>
      </c>
      <c r="D3" t="inlineStr">
        <is>
          <t>Q1 vs Q3 $ Var</t>
        </is>
      </c>
      <c r="E3" t="inlineStr">
        <is>
          <t>Q1 vs Q3 % Var</t>
        </is>
      </c>
      <c r="F3" t="inlineStr">
        <is>
          <t>FY25 Qtr Avg</t>
        </is>
      </c>
      <c r="G3" t="inlineStr">
        <is>
          <t>Q1 vs FY Avg $ Var</t>
        </is>
      </c>
      <c r="H3" t="inlineStr">
        <is>
          <t>Q1 vs FY Avg % Var</t>
        </is>
      </c>
    </row>
    <row r="4">
      <c r="A4" t="inlineStr">
        <is>
          <t>Revenue ($B)</t>
        </is>
      </c>
      <c r="B4" s="2" t="n">
        <v>13.203</v>
      </c>
      <c r="C4" s="2" t="n">
        <v>13.467</v>
      </c>
      <c r="D4" s="2">
        <f>B4-C4</f>
        <v/>
      </c>
      <c r="E4" s="3">
        <f>D4/C4</f>
        <v/>
      </c>
      <c r="F4" s="2">
        <f>52.017/4</f>
        <v/>
      </c>
      <c r="G4" s="2">
        <f>B4-F4</f>
        <v/>
      </c>
      <c r="H4" s="3">
        <f>G4/F4</f>
        <v/>
      </c>
    </row>
    <row r="5">
      <c r="A5" t="inlineStr">
        <is>
          <t>Operating Income ($B)</t>
        </is>
      </c>
      <c r="B5" s="2" t="n">
        <v>1.923</v>
      </c>
      <c r="C5" s="2" t="n">
        <v>1.113</v>
      </c>
      <c r="D5" s="2">
        <f>B5-C5</f>
        <v/>
      </c>
      <c r="E5" s="3">
        <f>D5/C5</f>
        <v/>
      </c>
      <c r="F5" s="2">
        <f>5.565/4</f>
        <v/>
      </c>
      <c r="G5" s="2">
        <f>B5-F5</f>
        <v/>
      </c>
      <c r="H5" s="3">
        <f>G5/F5</f>
        <v/>
      </c>
    </row>
    <row r="6">
      <c r="A6" t="inlineStr">
        <is>
          <t>Net Income ($B)</t>
        </is>
      </c>
      <c r="B6" s="2" t="n">
        <v>0.263</v>
      </c>
      <c r="C6" s="2" t="n">
        <v>6.626</v>
      </c>
      <c r="D6" s="2">
        <f>B6-C6</f>
        <v/>
      </c>
      <c r="E6" s="3">
        <f>D6/C6</f>
        <v/>
      </c>
      <c r="F6" s="2">
        <f>10.053/4</f>
        <v/>
      </c>
      <c r="G6" s="2">
        <f>B6-F6</f>
        <v/>
      </c>
      <c r="H6" s="3">
        <f>G6/F6</f>
        <v/>
      </c>
    </row>
    <row r="7">
      <c r="A7" t="inlineStr">
        <is>
          <t>Total Assets ($B)</t>
        </is>
      </c>
      <c r="B7" s="2" t="n">
        <v>59.885</v>
      </c>
      <c r="C7" s="2" t="n">
        <v>63.344</v>
      </c>
      <c r="D7" s="2">
        <f>B7-C7</f>
        <v/>
      </c>
      <c r="E7" s="3">
        <f>D7/C7</f>
        <v/>
      </c>
      <c r="F7" s="2">
        <f>61.802/4</f>
        <v/>
      </c>
      <c r="G7" s="2">
        <f>B7-F7</f>
        <v/>
      </c>
      <c r="H7" s="3">
        <f>G7/F7</f>
        <v/>
      </c>
    </row>
    <row r="8">
      <c r="A8" t="inlineStr">
        <is>
          <t>Total Liabilities ($B)</t>
        </is>
      </c>
      <c r="B8" s="2" t="n">
        <v>34.073</v>
      </c>
      <c r="C8" s="2" t="n">
        <v>34.189</v>
      </c>
      <c r="D8" s="2">
        <f>B8-C8</f>
        <v/>
      </c>
      <c r="E8" s="3">
        <f>D8/C8</f>
        <v/>
      </c>
      <c r="F8" s="2">
        <f>33.719/4</f>
        <v/>
      </c>
      <c r="G8" s="2">
        <f>B8-F8</f>
        <v/>
      </c>
      <c r="H8" s="3">
        <f>G8/F8</f>
        <v/>
      </c>
    </row>
    <row r="9">
      <c r="A9" t="inlineStr">
        <is>
          <t>Stockholders Equity ($B)</t>
        </is>
      </c>
      <c r="B9" s="2" t="n">
        <v>24.751</v>
      </c>
      <c r="C9" s="2" t="n">
        <v>28.134</v>
      </c>
      <c r="D9" s="2">
        <f>B9-C9</f>
        <v/>
      </c>
      <c r="E9" s="3">
        <f>D9/C9</f>
        <v/>
      </c>
      <c r="F9" s="2">
        <f>27.041/4</f>
        <v/>
      </c>
      <c r="G9" s="2">
        <f>B9-F9</f>
        <v/>
      </c>
      <c r="H9" s="3">
        <f>G9/F9</f>
        <v/>
      </c>
    </row>
    <row r="10">
      <c r="A10" t="inlineStr">
        <is>
          <t>Cash and Cash Equiv ($B)</t>
        </is>
      </c>
      <c r="B10" s="2" t="n">
        <v>5.558</v>
      </c>
      <c r="C10" s="2" t="n">
        <v>8.432</v>
      </c>
      <c r="D10" s="2">
        <f>B10-C10</f>
        <v/>
      </c>
      <c r="E10" s="3">
        <f>D10/C10</f>
        <v/>
      </c>
      <c r="F10" s="2">
        <f>7.105/4</f>
        <v/>
      </c>
      <c r="G10" s="2">
        <f>B10-F10</f>
        <v/>
      </c>
      <c r="H10" s="3">
        <f>G10/F10</f>
        <v/>
      </c>
    </row>
    <row r="11">
      <c r="A11" t="inlineStr">
        <is>
          <t>Diluted EPS ($)</t>
        </is>
      </c>
      <c r="B11" s="4" t="n">
        <v>0.13</v>
      </c>
      <c r="C11" s="4" t="n">
        <v>3.11</v>
      </c>
      <c r="D11" s="4">
        <f>B11-C11</f>
        <v/>
      </c>
      <c r="E11" s="3">
        <f>D11/C11</f>
        <v/>
      </c>
      <c r="F11" s="4">
        <f>4.73/4</f>
        <v/>
      </c>
      <c r="G11" s="4">
        <f>B11-F11</f>
        <v/>
      </c>
      <c r="H11" s="3">
        <f>G11/F11</f>
        <v/>
      </c>
    </row>
    <row r="12">
      <c r="A12" t="inlineStr">
        <is>
          <t>R&amp;D Expense ($B)</t>
        </is>
      </c>
      <c r="B12" s="2" t="n">
        <v>0.951</v>
      </c>
      <c r="C12" s="2" t="n">
        <v>0.862</v>
      </c>
      <c r="D12" s="2">
        <f>B12-C12</f>
        <v/>
      </c>
      <c r="E12" s="3">
        <f>D12/C12</f>
        <v/>
      </c>
      <c r="F12" s="2">
        <f>3.402/4</f>
        <v/>
      </c>
      <c r="G12" s="2">
        <f>B12-F12</f>
        <v/>
      </c>
      <c r="H12" s="3">
        <f>G12/F12</f>
        <v/>
      </c>
    </row>
    <row r="14">
      <c r="A14" t="inlineStr">
        <is>
          <t>Data Source: Uber Technologies, Inc. (UBER) XBRL financial data from sec_edgar_xbrl. Q1 2026 and Q3 2025 are quarterly figures; FY 2025 is full-year.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Uber Technologies, Inc. — Trend Summary</t>
        </is>
      </c>
    </row>
    <row r="3">
      <c r="A3" t="inlineStr">
        <is>
          <t>Metric</t>
        </is>
      </c>
      <c r="B3" t="inlineStr">
        <is>
          <t>Q1 2026</t>
        </is>
      </c>
      <c r="C3" t="inlineStr">
        <is>
          <t>Q3 2025</t>
        </is>
      </c>
      <c r="D3" t="inlineStr">
        <is>
          <t>FY 2025</t>
        </is>
      </c>
    </row>
    <row r="4">
      <c r="A4" t="inlineStr">
        <is>
          <t>Revenue ($B)</t>
        </is>
      </c>
      <c r="B4" s="2" t="n">
        <v>13.203</v>
      </c>
      <c r="C4" s="2" t="n">
        <v>13.467</v>
      </c>
      <c r="D4" s="2" t="n">
        <v>52.017</v>
      </c>
    </row>
    <row r="5">
      <c r="A5" t="inlineStr">
        <is>
          <t>Operating Income ($B)</t>
        </is>
      </c>
      <c r="B5" s="2" t="n">
        <v>1.923</v>
      </c>
      <c r="C5" s="2" t="n">
        <v>1.113</v>
      </c>
      <c r="D5" s="2" t="n">
        <v>5.565</v>
      </c>
    </row>
    <row r="6">
      <c r="A6" t="inlineStr">
        <is>
          <t>Net Income ($B)</t>
        </is>
      </c>
      <c r="B6" s="2" t="n">
        <v>0.263</v>
      </c>
      <c r="C6" s="2" t="n">
        <v>6.626</v>
      </c>
      <c r="D6" s="2" t="n">
        <v>10.053</v>
      </c>
    </row>
    <row r="7">
      <c r="A7" t="inlineStr">
        <is>
          <t>Total Assets ($B)</t>
        </is>
      </c>
      <c r="B7" s="2" t="n">
        <v>59.885</v>
      </c>
      <c r="C7" s="2" t="n">
        <v>63.344</v>
      </c>
      <c r="D7" s="2" t="n">
        <v>61.802</v>
      </c>
    </row>
    <row r="8">
      <c r="A8" t="inlineStr">
        <is>
          <t>Total Liabilities ($B)</t>
        </is>
      </c>
      <c r="B8" s="2" t="n">
        <v>34.073</v>
      </c>
      <c r="C8" s="2" t="n">
        <v>34.189</v>
      </c>
      <c r="D8" s="2" t="n">
        <v>33.719</v>
      </c>
    </row>
    <row r="9">
      <c r="A9" t="inlineStr">
        <is>
          <t>Stockholders Equity ($B)</t>
        </is>
      </c>
      <c r="B9" s="2" t="n">
        <v>24.751</v>
      </c>
      <c r="C9" s="2" t="n">
        <v>28.134</v>
      </c>
      <c r="D9" s="2" t="n">
        <v>27.041</v>
      </c>
    </row>
    <row r="10">
      <c r="A10" t="inlineStr">
        <is>
          <t>Cash and Cash Equiv ($B)</t>
        </is>
      </c>
      <c r="B10" s="2" t="n">
        <v>5.558</v>
      </c>
      <c r="C10" s="2" t="n">
        <v>8.432</v>
      </c>
      <c r="D10" s="2" t="n">
        <v>7.105</v>
      </c>
    </row>
    <row r="11">
      <c r="A11" t="inlineStr">
        <is>
          <t>Diluted EPS ($)</t>
        </is>
      </c>
      <c r="B11" s="4" t="n">
        <v>0.13</v>
      </c>
      <c r="C11" s="4" t="n">
        <v>3.11</v>
      </c>
      <c r="D11" s="4" t="n">
        <v>4.73</v>
      </c>
    </row>
    <row r="12">
      <c r="A12" t="inlineStr">
        <is>
          <t>R&amp;D Expense ($B)</t>
        </is>
      </c>
      <c r="B12" s="2" t="n">
        <v>0.951</v>
      </c>
      <c r="C12" s="2" t="n">
        <v>0.862</v>
      </c>
      <c r="D12" s="2" t="n">
        <v>3.402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Uber Technologies, Inc. — Key Metrics (Q1 2026)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Operating Margin</t>
        </is>
      </c>
      <c r="B4" s="3">
        <f>1.923/13.203</f>
        <v/>
      </c>
    </row>
    <row r="5">
      <c r="A5" t="inlineStr">
        <is>
          <t>Net Income Margin</t>
        </is>
      </c>
      <c r="B5" s="3">
        <f>0.263/13.203</f>
        <v/>
      </c>
    </row>
    <row r="6">
      <c r="A6" t="inlineStr">
        <is>
          <t>ROE (Annualized)</t>
        </is>
      </c>
      <c r="B6" s="3">
        <f>(0.263*4)/24.751</f>
        <v/>
      </c>
    </row>
    <row r="7">
      <c r="A7" t="inlineStr">
        <is>
          <t>Asset-to-Liability Ratio</t>
        </is>
      </c>
      <c r="B7" s="4">
        <f>59.885/34.073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2026-05-13T19:09:21Z</dcterms:created>
  <dcterms:modified xmlns:dcterms="http://purl.org/dc/terms/" xmlns:xsi="http://www.w3.org/2001/XMLSchema-instance" xsi:type="dcterms:W3CDTF">2026-05-13T19:09:21Z</dcterms:modified>
</cp:coreProperties>
</file>