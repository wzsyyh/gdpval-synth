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Variance Analysis" sheetId="2" state="visible" r:id="rId2"/>
    <sheet xmlns:r="http://schemas.openxmlformats.org/officeDocument/2006/relationships" name="Outpu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BDD7EE"/>
        <bgColor rgb="00BDD7EE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3" fontId="0" fillId="3" borderId="0" pivotButton="0" quotePrefix="0" xfId="0"/>
    <xf numFmtId="4" fontId="0" fillId="3" borderId="0" pivotButton="0" quotePrefix="0" xfId="0"/>
    <xf numFmtId="3" fontId="0" fillId="4" borderId="0" pivotButton="0" quotePrefix="0" xfId="0"/>
    <xf numFmtId="10" fontId="0" fillId="4" borderId="0" pivotButton="0" quotePrefix="0" xfId="0"/>
    <xf numFmtId="10" fontId="0" fillId="5" borderId="0" pivotButton="0" quotePrefix="0" xfId="0"/>
    <xf numFmtId="3" fontId="0" fillId="5" borderId="0" pivotButton="0" quotePrefix="0" xfId="0"/>
    <xf numFmtId="4" fontId="0" fillId="4" borderId="0" pivotButton="0" quotePrefix="0" xfId="0"/>
    <xf numFmtId="4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Metric</t>
        </is>
      </c>
      <c r="B1" s="1" t="inlineStr">
        <is>
          <t>FY 2024</t>
        </is>
      </c>
      <c r="C1" s="1" t="inlineStr">
        <is>
          <t>FY 2025</t>
        </is>
      </c>
      <c r="D1" s="1" t="inlineStr">
        <is>
          <t>Q1 FY2025</t>
        </is>
      </c>
      <c r="E1" s="1" t="inlineStr">
        <is>
          <t>Q2 FY2025</t>
        </is>
      </c>
      <c r="F1" s="1" t="inlineStr">
        <is>
          <t>Q3 FY2025</t>
        </is>
      </c>
    </row>
    <row r="2">
      <c r="A2" s="2" t="inlineStr">
        <is>
          <t>Revenue</t>
        </is>
      </c>
      <c r="B2" s="3" t="n">
        <v>96119000000</v>
      </c>
      <c r="C2" s="3" t="n">
        <v>164683000000</v>
      </c>
      <c r="D2" s="3" t="n">
        <v>41352000000</v>
      </c>
      <c r="E2" s="3" t="n">
        <v>45277000000</v>
      </c>
      <c r="F2" s="3" t="n">
        <v>41352000000</v>
      </c>
    </row>
    <row r="3">
      <c r="A3" s="2" t="inlineStr">
        <is>
          <t>Gross Profit</t>
        </is>
      </c>
      <c r="B3" s="2" t="n"/>
      <c r="C3" s="3" t="n">
        <v>54865000000</v>
      </c>
      <c r="D3" s="3" t="n">
        <v>15125000000</v>
      </c>
      <c r="E3" s="3" t="n">
        <v>15125000000</v>
      </c>
      <c r="F3" s="3" t="n">
        <v>13815000000</v>
      </c>
    </row>
    <row r="4">
      <c r="A4" s="2" t="inlineStr">
        <is>
          <t>Operating Income</t>
        </is>
      </c>
      <c r="B4" s="2" t="n"/>
      <c r="C4" s="3" t="n">
        <v>20890000000</v>
      </c>
      <c r="D4" s="3" t="n">
        <v>6555000000</v>
      </c>
      <c r="E4" s="3" t="n">
        <v>6555000000</v>
      </c>
      <c r="F4" s="3" t="n">
        <v>5353000000</v>
      </c>
    </row>
    <row r="5">
      <c r="A5" s="2" t="inlineStr">
        <is>
          <t>Net Income</t>
        </is>
      </c>
      <c r="B5" s="2" t="n"/>
      <c r="C5" s="3" t="n">
        <v>14156000000</v>
      </c>
      <c r="D5" s="2" t="n"/>
      <c r="E5" s="2" t="n"/>
      <c r="F5" s="3" t="n">
        <v>3601000000</v>
      </c>
    </row>
    <row r="6">
      <c r="A6" s="2" t="inlineStr">
        <is>
          <t>SG&amp;A Expense</t>
        </is>
      </c>
      <c r="B6" s="2" t="n"/>
      <c r="C6" s="3" t="n">
        <v>30702000000</v>
      </c>
      <c r="D6" s="3" t="n">
        <v>7764000000</v>
      </c>
      <c r="E6" s="3" t="n">
        <v>7764000000</v>
      </c>
      <c r="F6" s="3" t="n">
        <v>7636000000</v>
      </c>
    </row>
    <row r="7">
      <c r="A7" s="2" t="inlineStr">
        <is>
          <t>EPS Diluted</t>
        </is>
      </c>
      <c r="B7" s="2" t="n"/>
      <c r="C7" s="4" t="n">
        <v>14.23</v>
      </c>
      <c r="D7" s="4" t="n">
        <v>4.58</v>
      </c>
      <c r="E7" s="4" t="n">
        <v>4.58</v>
      </c>
      <c r="F7" s="4" t="n">
        <v>3.62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6" customWidth="1" min="4" max="4"/>
    <col width="14" customWidth="1" min="5" max="5"/>
    <col width="16" customWidth="1" min="6" max="6"/>
    <col width="16" customWidth="1" min="7" max="7"/>
    <col width="12" customWidth="1" min="8" max="8"/>
  </cols>
  <sheetData>
    <row r="1">
      <c r="A1" s="1" t="inlineStr">
        <is>
          <t>Metric</t>
        </is>
      </c>
      <c r="B1" s="1" t="inlineStr">
        <is>
          <t>FY 2024</t>
        </is>
      </c>
      <c r="C1" s="1" t="inlineStr">
        <is>
          <t>FY 2025</t>
        </is>
      </c>
      <c r="D1" s="1" t="inlineStr">
        <is>
          <t>Variance ($)</t>
        </is>
      </c>
      <c r="E1" s="1" t="inlineStr">
        <is>
          <t>Variance (%)</t>
        </is>
      </c>
      <c r="F1" s="1" t="inlineStr">
        <is>
          <t>FY 2024 Margin</t>
        </is>
      </c>
      <c r="G1" s="1" t="inlineStr">
        <is>
          <t>FY 2025 Margin</t>
        </is>
      </c>
      <c r="H1" s="1" t="inlineStr">
        <is>
          <t>Δ (bps)</t>
        </is>
      </c>
    </row>
    <row r="2">
      <c r="A2" s="2" t="inlineStr">
        <is>
          <t>Revenue</t>
        </is>
      </c>
      <c r="B2" s="3" t="n">
        <v>96119000000</v>
      </c>
      <c r="C2" s="3" t="n">
        <v>164683000000</v>
      </c>
      <c r="D2" s="5">
        <f>C2-B2</f>
        <v/>
      </c>
      <c r="E2" s="6">
        <f>D2/B2</f>
        <v/>
      </c>
    </row>
    <row r="3">
      <c r="A3" s="2" t="inlineStr">
        <is>
          <t>Gross Profit</t>
        </is>
      </c>
      <c r="B3" s="2" t="n"/>
      <c r="C3" s="3" t="n">
        <v>54865000000</v>
      </c>
      <c r="D3" s="5">
        <f>C3-B3</f>
        <v/>
      </c>
      <c r="E3" s="6">
        <f>D3/B3</f>
        <v/>
      </c>
      <c r="F3" s="7">
        <f>B3/B2</f>
        <v/>
      </c>
      <c r="G3" s="7">
        <f>C3/C2</f>
        <v/>
      </c>
      <c r="H3" s="8">
        <f>(G3-F3)*10000</f>
        <v/>
      </c>
    </row>
    <row r="4">
      <c r="A4" s="2" t="inlineStr">
        <is>
          <t>Operating Income</t>
        </is>
      </c>
      <c r="B4" s="2" t="n"/>
      <c r="C4" s="3" t="n">
        <v>20890000000</v>
      </c>
      <c r="D4" s="5">
        <f>C4-B4</f>
        <v/>
      </c>
      <c r="E4" s="6">
        <f>D4/B4</f>
        <v/>
      </c>
      <c r="F4" s="7">
        <f>B4/B2</f>
        <v/>
      </c>
      <c r="G4" s="7">
        <f>C4/C2</f>
        <v/>
      </c>
      <c r="H4" s="8">
        <f>(G4-F4)*10000</f>
        <v/>
      </c>
    </row>
    <row r="5">
      <c r="A5" s="2" t="inlineStr">
        <is>
          <t>Net Income</t>
        </is>
      </c>
      <c r="B5" s="2" t="n"/>
      <c r="C5" s="3" t="n">
        <v>14156000000</v>
      </c>
      <c r="D5" s="5">
        <f>C5-B5</f>
        <v/>
      </c>
      <c r="E5" s="6">
        <f>D5/B5</f>
        <v/>
      </c>
      <c r="F5" s="7">
        <f>B5/B2</f>
        <v/>
      </c>
      <c r="G5" s="7">
        <f>C5/C2</f>
        <v/>
      </c>
      <c r="H5" s="8">
        <f>(G5-F5)*10000</f>
        <v/>
      </c>
    </row>
    <row r="6">
      <c r="A6" s="2" t="inlineStr">
        <is>
          <t>SG&amp;A Expense</t>
        </is>
      </c>
      <c r="B6" s="2" t="n"/>
      <c r="C6" s="3" t="n">
        <v>30702000000</v>
      </c>
      <c r="D6" s="5">
        <f>C6-B6</f>
        <v/>
      </c>
      <c r="E6" s="6">
        <f>D6/B6</f>
        <v/>
      </c>
      <c r="F6" s="7">
        <f>B6/B2</f>
        <v/>
      </c>
      <c r="G6" s="7">
        <f>C6/C2</f>
        <v/>
      </c>
      <c r="H6" s="8">
        <f>(G6-F6)*10000</f>
        <v/>
      </c>
    </row>
    <row r="7">
      <c r="A7" s="2" t="inlineStr">
        <is>
          <t>EPS Diluted</t>
        </is>
      </c>
      <c r="B7" s="2" t="n"/>
      <c r="C7" s="4" t="n">
        <v>14.23</v>
      </c>
      <c r="D7" s="9">
        <f>C7-B7</f>
        <v/>
      </c>
      <c r="E7" s="6">
        <f>D7/B7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1" t="inlineStr">
        <is>
          <t>Summary Metric</t>
        </is>
      </c>
      <c r="B1" s="1" t="inlineStr">
        <is>
          <t>FY 2025 Value</t>
        </is>
      </c>
      <c r="C1" s="1" t="inlineStr">
        <is>
          <t>FY 2025 vs FY 2024</t>
        </is>
      </c>
    </row>
    <row r="2">
      <c r="A2" s="2" t="inlineStr">
        <is>
          <t>Revenue Growth</t>
        </is>
      </c>
      <c r="B2" s="8">
        <f>'Variance Analysis'!C2</f>
        <v/>
      </c>
      <c r="C2" s="7">
        <f>'Variance Analysis'!E2</f>
        <v/>
      </c>
    </row>
    <row r="3">
      <c r="A3" s="2" t="inlineStr">
        <is>
          <t>Gross Margin (bps Δ)</t>
        </is>
      </c>
      <c r="B3" s="7">
        <f>'Variance Analysis'!G3</f>
        <v/>
      </c>
      <c r="C3" s="8">
        <f>'Variance Analysis'!H3</f>
        <v/>
      </c>
    </row>
    <row r="4">
      <c r="A4" s="2" t="inlineStr">
        <is>
          <t>Operating Margin (bps Δ)</t>
        </is>
      </c>
      <c r="B4" s="7">
        <f>'Variance Analysis'!G4</f>
        <v/>
      </c>
      <c r="C4" s="8">
        <f>'Variance Analysis'!H4</f>
        <v/>
      </c>
    </row>
    <row r="5">
      <c r="A5" s="2" t="inlineStr">
        <is>
          <t>Net Margin (bps Δ)</t>
        </is>
      </c>
      <c r="B5" s="7">
        <f>'Variance Analysis'!G5</f>
        <v/>
      </c>
      <c r="C5" s="8">
        <f>'Variance Analysis'!H5</f>
        <v/>
      </c>
    </row>
    <row r="6">
      <c r="A6" s="2" t="inlineStr">
        <is>
          <t>SG&amp;A Ratio (bps Δ)</t>
        </is>
      </c>
      <c r="B6" s="7">
        <f>'Variance Analysis'!G6</f>
        <v/>
      </c>
      <c r="C6" s="8">
        <f>'Variance Analysis'!H6</f>
        <v/>
      </c>
    </row>
    <row r="7">
      <c r="A7" s="2" t="inlineStr">
        <is>
          <t>EPS Growth</t>
        </is>
      </c>
      <c r="B7" s="10">
        <f>'Variance Analysis'!C7</f>
        <v/>
      </c>
      <c r="C7" s="7">
        <f>'Variance Analysis'!E7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2026-05-13T18:41:10Z</dcterms:created>
  <dcterms:modified xmlns:dcterms="http://purl.org/dc/terms/" xmlns:xsi="http://www.w3.org/2001/XMLSchema-instance" xsi:type="dcterms:W3CDTF">2026-05-13T18:41:10Z</dcterms:modified>
</cp:coreProperties>
</file>