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ariance Analysis" sheetId="2" state="visible" r:id="rId2"/>
    <sheet xmlns:r="http://schemas.openxmlformats.org/officeDocument/2006/relationships" name="Margin Analysi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Pfizer Inc. (PFE) - Financial Data</t>
        </is>
      </c>
    </row>
    <row r="3">
      <c r="A3" s="1" t="inlineStr">
        <is>
          <t>Line Item</t>
        </is>
      </c>
      <c r="B3" s="1" t="inlineStr">
        <is>
          <t>Q2 2025</t>
        </is>
      </c>
      <c r="C3" s="1" t="inlineStr">
        <is>
          <t>Q3 2025</t>
        </is>
      </c>
      <c r="D3" s="1" t="inlineStr">
        <is>
          <t>FY2025</t>
        </is>
      </c>
      <c r="E3" s="1" t="inlineStr">
        <is>
          <t>Q1 2026</t>
        </is>
      </c>
    </row>
    <row r="4">
      <c r="A4" s="2" t="inlineStr">
        <is>
          <t>Revenue</t>
        </is>
      </c>
      <c r="B4" s="3" t="n">
        <v>28367000000</v>
      </c>
      <c r="C4" s="3" t="n">
        <v>16654000000</v>
      </c>
      <c r="D4" s="3" t="n">
        <v>62579000000</v>
      </c>
      <c r="E4" s="3" t="n">
        <v>14451000000</v>
      </c>
    </row>
    <row r="5">
      <c r="A5" s="2" t="inlineStr">
        <is>
          <t>Cost of Goods Sold</t>
        </is>
      </c>
      <c r="B5" s="3" t="n">
        <v>6624000000</v>
      </c>
      <c r="C5" s="3" t="n">
        <v>4172000000</v>
      </c>
      <c r="D5" s="3" t="n">
        <v>16067000000</v>
      </c>
      <c r="E5" s="3" t="n">
        <v>3548000000</v>
      </c>
    </row>
    <row r="6">
      <c r="A6" s="2" t="inlineStr">
        <is>
          <t>SG&amp;A Expense</t>
        </is>
      </c>
      <c r="B6" s="3" t="n">
        <v>6446000000</v>
      </c>
      <c r="C6" s="3" t="n">
        <v>3186000000</v>
      </c>
      <c r="D6" s="3" t="n">
        <v>13794000000</v>
      </c>
      <c r="E6" s="3" t="n">
        <v>2961000000</v>
      </c>
    </row>
    <row r="7">
      <c r="A7" s="2" t="inlineStr">
        <is>
          <t>Net Income</t>
        </is>
      </c>
      <c r="B7" s="3" t="n">
        <v>5877000000</v>
      </c>
      <c r="C7" s="3" t="n">
        <v>3541000000</v>
      </c>
      <c r="D7" s="3" t="n">
        <v>7771000000</v>
      </c>
      <c r="E7" s="3" t="n">
        <v>2687000000</v>
      </c>
    </row>
    <row r="8">
      <c r="A8" s="2" t="inlineStr">
        <is>
          <t>EPS (Diluted)</t>
        </is>
      </c>
      <c r="B8" s="4" t="n">
        <v>1.03</v>
      </c>
      <c r="C8" s="4" t="n">
        <v>0.62</v>
      </c>
      <c r="D8" s="4" t="n">
        <v>1.36</v>
      </c>
      <c r="E8" s="4" t="n">
        <v>0.47</v>
      </c>
    </row>
    <row r="9">
      <c r="A9" s="2" t="inlineStr">
        <is>
          <t>Total Assets</t>
        </is>
      </c>
      <c r="B9" s="3" t="n">
        <v>206095000000</v>
      </c>
      <c r="C9" s="3" t="n">
        <v>208731000000</v>
      </c>
      <c r="D9" s="3" t="n">
        <v>208160000000</v>
      </c>
      <c r="E9" s="3" t="n">
        <v>207618000000</v>
      </c>
    </row>
    <row r="10">
      <c r="A10" s="2" t="inlineStr">
        <is>
          <t>Total Liabilities</t>
        </is>
      </c>
      <c r="B10" s="3" t="n">
        <v>117083000000</v>
      </c>
      <c r="C10" s="3" t="n">
        <v>115635000000</v>
      </c>
      <c r="D10" s="3" t="n">
        <v>121385000000</v>
      </c>
      <c r="E10" s="3" t="n">
        <v>117214000000</v>
      </c>
    </row>
    <row r="11">
      <c r="A11" s="2" t="inlineStr">
        <is>
          <t>Stockholders' Equity</t>
        </is>
      </c>
      <c r="B11" s="3" t="n">
        <v>88695000000</v>
      </c>
      <c r="C11" s="3" t="n">
        <v>92801000000</v>
      </c>
      <c r="D11" s="3" t="n">
        <v>86476000000</v>
      </c>
      <c r="E11" s="3" t="n">
        <v>90101000000</v>
      </c>
    </row>
    <row r="12">
      <c r="A12" s="2" t="inlineStr">
        <is>
          <t>Cash &amp; Cash Equivalents</t>
        </is>
      </c>
      <c r="B12" s="3" t="n">
        <v>1638000000</v>
      </c>
      <c r="C12" s="3" t="n">
        <v>1343000000</v>
      </c>
      <c r="D12" s="3" t="n">
        <v>1142000000</v>
      </c>
      <c r="E12" s="3" t="n">
        <v>1703000000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Pfizer Inc. (PFE) - Variance Analysis</t>
        </is>
      </c>
    </row>
    <row r="3">
      <c r="A3" s="1" t="inlineStr">
        <is>
          <t>Line Item</t>
        </is>
      </c>
      <c r="B3" s="1" t="inlineStr">
        <is>
          <t>Q1 2026 vs FY2025 ($)</t>
        </is>
      </c>
      <c r="C3" s="1" t="inlineStr">
        <is>
          <t>Q1 2026 vs FY2025 (%)</t>
        </is>
      </c>
      <c r="D3" s="1" t="inlineStr">
        <is>
          <t>Q1 2026 vs Q3 2025 ($)</t>
        </is>
      </c>
      <c r="E3" s="1" t="inlineStr">
        <is>
          <t>Q1 2026 vs Q3 2025 (%)</t>
        </is>
      </c>
    </row>
    <row r="4">
      <c r="A4" s="2" t="inlineStr">
        <is>
          <t>Revenue</t>
        </is>
      </c>
      <c r="B4" s="3">
        <f>Inputs!E4-Inputs!D4</f>
        <v/>
      </c>
      <c r="C4" s="5">
        <f>(Inputs!E4-Inputs!D4)/Inputs!D4</f>
        <v/>
      </c>
      <c r="D4" s="3">
        <f>Inputs!E4-Inputs!C4</f>
        <v/>
      </c>
      <c r="E4" s="5">
        <f>(Inputs!E4-Inputs!C4)/Inputs!C4</f>
        <v/>
      </c>
    </row>
    <row r="5">
      <c r="A5" s="2" t="inlineStr">
        <is>
          <t>Cost of Goods Sold</t>
        </is>
      </c>
      <c r="B5" s="3">
        <f>Inputs!E5-Inputs!D5</f>
        <v/>
      </c>
      <c r="C5" s="5">
        <f>(Inputs!E5-Inputs!D5)/Inputs!D5</f>
        <v/>
      </c>
      <c r="D5" s="3">
        <f>Inputs!E5-Inputs!C5</f>
        <v/>
      </c>
      <c r="E5" s="5">
        <f>(Inputs!E5-Inputs!C5)/Inputs!C5</f>
        <v/>
      </c>
    </row>
    <row r="6">
      <c r="A6" s="2" t="inlineStr">
        <is>
          <t>SG&amp;A Expense</t>
        </is>
      </c>
      <c r="B6" s="3">
        <f>Inputs!E6-Inputs!D6</f>
        <v/>
      </c>
      <c r="C6" s="5">
        <f>(Inputs!E6-Inputs!D6)/Inputs!D6</f>
        <v/>
      </c>
      <c r="D6" s="3">
        <f>Inputs!E6-Inputs!C6</f>
        <v/>
      </c>
      <c r="E6" s="5">
        <f>(Inputs!E6-Inputs!C6)/Inputs!C6</f>
        <v/>
      </c>
    </row>
    <row r="7">
      <c r="A7" s="2" t="inlineStr">
        <is>
          <t>Net Income</t>
        </is>
      </c>
      <c r="B7" s="3">
        <f>Inputs!E7-Inputs!D7</f>
        <v/>
      </c>
      <c r="C7" s="5">
        <f>(Inputs!E7-Inputs!D7)/Inputs!D7</f>
        <v/>
      </c>
      <c r="D7" s="3">
        <f>Inputs!E7-Inputs!C7</f>
        <v/>
      </c>
      <c r="E7" s="5">
        <f>(Inputs!E7-Inputs!C7)/Inputs!C7</f>
        <v/>
      </c>
    </row>
    <row r="8">
      <c r="A8" s="2" t="inlineStr">
        <is>
          <t>EPS (Diluted)</t>
        </is>
      </c>
      <c r="B8" s="4">
        <f>Inputs!E8-Inputs!D8</f>
        <v/>
      </c>
      <c r="C8" s="5">
        <f>(Inputs!E8-Inputs!D8)/Inputs!D8</f>
        <v/>
      </c>
      <c r="D8" s="4">
        <f>Inputs!E8-Inputs!C8</f>
        <v/>
      </c>
      <c r="E8" s="5">
        <f>(Inputs!E8-Inputs!C8)/Inputs!C8</f>
        <v/>
      </c>
    </row>
    <row r="9">
      <c r="A9" s="2" t="inlineStr">
        <is>
          <t>Total Assets</t>
        </is>
      </c>
      <c r="B9" s="3">
        <f>Inputs!E9-Inputs!D9</f>
        <v/>
      </c>
      <c r="C9" s="5">
        <f>(Inputs!E9-Inputs!D9)/Inputs!D9</f>
        <v/>
      </c>
      <c r="D9" s="3">
        <f>Inputs!E9-Inputs!C9</f>
        <v/>
      </c>
      <c r="E9" s="5">
        <f>(Inputs!E9-Inputs!C9)/Inputs!C9</f>
        <v/>
      </c>
    </row>
    <row r="10">
      <c r="A10" s="2" t="inlineStr">
        <is>
          <t>Total Liabilities</t>
        </is>
      </c>
      <c r="B10" s="3">
        <f>Inputs!E10-Inputs!D10</f>
        <v/>
      </c>
      <c r="C10" s="5">
        <f>(Inputs!E10-Inputs!D10)/Inputs!D10</f>
        <v/>
      </c>
      <c r="D10" s="3">
        <f>Inputs!E10-Inputs!C10</f>
        <v/>
      </c>
      <c r="E10" s="5">
        <f>(Inputs!E10-Inputs!C10)/Inputs!C10</f>
        <v/>
      </c>
    </row>
    <row r="11">
      <c r="A11" s="2" t="inlineStr">
        <is>
          <t>Stockholders' Equity</t>
        </is>
      </c>
      <c r="B11" s="3">
        <f>Inputs!E11-Inputs!D11</f>
        <v/>
      </c>
      <c r="C11" s="5">
        <f>(Inputs!E11-Inputs!D11)/Inputs!D11</f>
        <v/>
      </c>
      <c r="D11" s="3">
        <f>Inputs!E11-Inputs!C11</f>
        <v/>
      </c>
      <c r="E11" s="5">
        <f>(Inputs!E11-Inputs!C11)/Inputs!C11</f>
        <v/>
      </c>
    </row>
    <row r="12">
      <c r="A12" s="2" t="inlineStr">
        <is>
          <t>Cash &amp; Cash Equivalents</t>
        </is>
      </c>
      <c r="B12" s="3">
        <f>Inputs!E12-Inputs!D12</f>
        <v/>
      </c>
      <c r="C12" s="5">
        <f>(Inputs!E12-Inputs!D12)/Inputs!D12</f>
        <v/>
      </c>
      <c r="D12" s="3">
        <f>Inputs!E12-Inputs!C12</f>
        <v/>
      </c>
      <c r="E12" s="5">
        <f>(Inputs!E12-Inputs!C12)/Inputs!C12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Pfizer Inc. (PFE) - Margin Analysis</t>
        </is>
      </c>
    </row>
    <row r="3">
      <c r="A3" s="1" t="inlineStr">
        <is>
          <t>Margin Metric</t>
        </is>
      </c>
      <c r="B3" s="1" t="inlineStr">
        <is>
          <t>Q2 2025</t>
        </is>
      </c>
      <c r="C3" s="1" t="inlineStr">
        <is>
          <t>Q3 2025</t>
        </is>
      </c>
      <c r="D3" s="1" t="inlineStr">
        <is>
          <t>FY2025</t>
        </is>
      </c>
      <c r="E3" s="1" t="inlineStr">
        <is>
          <t>Q1 2026</t>
        </is>
      </c>
    </row>
    <row r="4">
      <c r="A4" s="2" t="inlineStr">
        <is>
          <t>Gross Margin</t>
        </is>
      </c>
      <c r="B4" s="5">
        <f>(Inputs!B4-Inputs!B5)/Inputs!B4</f>
        <v/>
      </c>
      <c r="C4" s="5">
        <f>(Inputs!C4-Inputs!C5)/Inputs!C4</f>
        <v/>
      </c>
      <c r="D4" s="5">
        <f>(Inputs!D4-Inputs!D5)/Inputs!D4</f>
        <v/>
      </c>
      <c r="E4" s="5">
        <f>(Inputs!E4-Inputs!E5)/Inputs!E4</f>
        <v/>
      </c>
    </row>
    <row r="5">
      <c r="A5" s="2" t="inlineStr">
        <is>
          <t>Operating Margin</t>
        </is>
      </c>
      <c r="B5" s="5">
        <f>(Inputs!B4-Inputs!B5-Inputs!B6)/Inputs!B4</f>
        <v/>
      </c>
      <c r="C5" s="5">
        <f>(Inputs!C4-Inputs!C5-Inputs!C6)/Inputs!C4</f>
        <v/>
      </c>
      <c r="D5" s="5">
        <f>(Inputs!D4-Inputs!D5-Inputs!D6)/Inputs!D4</f>
        <v/>
      </c>
      <c r="E5" s="5">
        <f>(Inputs!E4-Inputs!E5-Inputs!E6)/Inputs!E4</f>
        <v/>
      </c>
    </row>
    <row r="6">
      <c r="A6" s="2" t="inlineStr">
        <is>
          <t>Net Margin</t>
        </is>
      </c>
      <c r="B6" s="5">
        <f>Inputs!B7/Inputs!B4</f>
        <v/>
      </c>
      <c r="C6" s="5">
        <f>Inputs!C7/Inputs!C4</f>
        <v/>
      </c>
      <c r="D6" s="5">
        <f>Inputs!D7/Inputs!D4</f>
        <v/>
      </c>
      <c r="E6" s="5">
        <f>Inputs!E7/Inputs!E4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Pfizer Inc. (PFE) - Variance Summary</t>
        </is>
      </c>
    </row>
    <row r="3">
      <c r="A3" s="2" t="inlineStr">
        <is>
          <t>Key Variances: Q1 2026 vs Q3 2025</t>
        </is>
      </c>
    </row>
    <row r="5">
      <c r="A5" s="2" t="inlineStr">
        <is>
          <t>Largest Positive Variances:</t>
        </is>
      </c>
    </row>
    <row r="6">
      <c r="A6" t="inlineStr">
        <is>
          <t>1. Cash &amp; Cash Equivalents increased $0.4B (+26.8%) from $1.3B to $1.7B</t>
        </is>
      </c>
    </row>
    <row r="7">
      <c r="A7" t="inlineStr">
        <is>
          <t>2. Stockholders' Equity declined $2.7B (-2.9%) from $92.8B to $90.1B</t>
        </is>
      </c>
    </row>
    <row r="9">
      <c r="A9" s="2" t="inlineStr">
        <is>
          <t>Largest Negative Variances:</t>
        </is>
      </c>
    </row>
    <row r="10">
      <c r="A10" t="inlineStr">
        <is>
          <t>1. Revenue declined $2.2B (-13.2%) from $16.7B to $14.5B</t>
        </is>
      </c>
    </row>
    <row r="11">
      <c r="A11" t="inlineStr">
        <is>
          <t>2. Net Income declined $0.9B (-24.1%) from $3.5B to $2.7B</t>
        </is>
      </c>
    </row>
    <row r="13">
      <c r="A13" t="inlineStr">
        <is>
          <t>Note: Dollar figures rounded to one decimal place in billions for readability.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2026-05-13T17:58:12Z</dcterms:created>
  <dcterms:modified xmlns:dcterms="http://purl.org/dc/terms/" xmlns:xsi="http://www.w3.org/2001/XMLSchema-instance" xsi:type="dcterms:W3CDTF">2026-05-13T17:58:12Z</dcterms:modified>
</cp:coreProperties>
</file>