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Per-Share Metrics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Margin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000000"/>
      <sz val="11"/>
    </font>
    <font>
      <name val="Calibri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right" vertical="center"/>
    </xf>
    <xf numFmtId="4" fontId="0" fillId="0" borderId="0" pivotButton="0" quotePrefix="0" xfId="0"/>
    <xf numFmtId="2" fontId="0" fillId="0" borderId="0" pivotButton="0" quotePrefix="0" xfId="0"/>
    <xf numFmtId="0" fontId="3" fillId="3" borderId="0" pivotButton="0" quotePrefix="0" xfId="0"/>
    <xf numFmtId="4" fontId="3" fillId="3" borderId="0" pivotButton="0" quotePrefix="0" xfId="0"/>
    <xf numFmtId="2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Apple Inc. (AAPL) — Income Statement Variance</t>
        </is>
      </c>
    </row>
    <row r="2">
      <c r="A2" s="2" t="inlineStr">
        <is>
          <t>Q1 FY2026 vs Q2 FY2026 (USD in Billions)</t>
        </is>
      </c>
    </row>
    <row r="4">
      <c r="A4" s="1" t="inlineStr">
        <is>
          <t>Line Item</t>
        </is>
      </c>
      <c r="B4" s="3" t="inlineStr">
        <is>
          <t>Q1 FY2026</t>
        </is>
      </c>
      <c r="C4" s="3" t="inlineStr">
        <is>
          <t>Q2 FY2026</t>
        </is>
      </c>
      <c r="D4" s="3" t="inlineStr">
        <is>
          <t>Change ($ B)</t>
        </is>
      </c>
      <c r="E4" s="3" t="inlineStr">
        <is>
          <t>Change (%)</t>
        </is>
      </c>
    </row>
    <row r="5">
      <c r="A5" t="inlineStr">
        <is>
          <t>Revenue</t>
        </is>
      </c>
      <c r="B5" s="4" t="n">
        <v>143.76</v>
      </c>
      <c r="C5" s="4" t="n">
        <v>111.18</v>
      </c>
      <c r="D5" s="4">
        <f>C5-B5</f>
        <v/>
      </c>
      <c r="E5" s="5">
        <f>(C5-B5)/B5*100</f>
        <v/>
      </c>
    </row>
    <row r="6">
      <c r="A6" t="inlineStr">
        <is>
          <t>Cost of Goods Sold</t>
        </is>
      </c>
      <c r="B6" s="4" t="n">
        <v>74.53</v>
      </c>
      <c r="C6" s="4" t="n">
        <v>56.4</v>
      </c>
      <c r="D6" s="4">
        <f>C6-B6</f>
        <v/>
      </c>
      <c r="E6" s="5">
        <f>(C6-B6)/B6*100</f>
        <v/>
      </c>
    </row>
    <row r="7">
      <c r="A7" t="inlineStr">
        <is>
          <t>Gross Profit</t>
        </is>
      </c>
      <c r="B7" s="4" t="n">
        <v>69.23</v>
      </c>
      <c r="C7" s="4" t="n">
        <v>54.78</v>
      </c>
      <c r="D7" s="4">
        <f>C7-B7</f>
        <v/>
      </c>
      <c r="E7" s="5">
        <f>(C7-B7)/B7*100</f>
        <v/>
      </c>
    </row>
    <row r="8">
      <c r="A8" t="inlineStr">
        <is>
          <t>R&amp;D Expense</t>
        </is>
      </c>
      <c r="B8" s="4" t="n">
        <v>10.89</v>
      </c>
      <c r="C8" s="4" t="n">
        <v>11.42</v>
      </c>
      <c r="D8" s="4">
        <f>C8-B8</f>
        <v/>
      </c>
      <c r="E8" s="5">
        <f>(C8-B8)/B8*100</f>
        <v/>
      </c>
    </row>
    <row r="9">
      <c r="A9" t="inlineStr">
        <is>
          <t>SG&amp;A Expense</t>
        </is>
      </c>
      <c r="B9" s="4" t="n">
        <v>7.49</v>
      </c>
      <c r="C9" s="4" t="n">
        <v>7.48</v>
      </c>
      <c r="D9" s="4">
        <f>C9-B9</f>
        <v/>
      </c>
      <c r="E9" s="5">
        <f>(C9-B9)/B9*100</f>
        <v/>
      </c>
    </row>
    <row r="10">
      <c r="A10" s="6" t="inlineStr">
        <is>
          <t>Total Operating Expenses</t>
        </is>
      </c>
      <c r="B10" s="7">
        <f>B6+B8+B9</f>
        <v/>
      </c>
      <c r="C10" s="7">
        <f>C6+C8+C9</f>
        <v/>
      </c>
      <c r="D10" s="7">
        <f>C10-B10</f>
        <v/>
      </c>
      <c r="E10" s="8">
        <f>(C10-B10)/B10*100</f>
        <v/>
      </c>
    </row>
    <row r="11">
      <c r="A11" t="inlineStr">
        <is>
          <t>Operating Income</t>
        </is>
      </c>
      <c r="B11" s="4" t="n">
        <v>50.85</v>
      </c>
      <c r="C11" s="4" t="n">
        <v>35.89</v>
      </c>
      <c r="D11" s="4">
        <f>C11-B11</f>
        <v/>
      </c>
      <c r="E11" s="5">
        <f>(C11-B11)/B11*100</f>
        <v/>
      </c>
    </row>
    <row r="12">
      <c r="A12" t="inlineStr">
        <is>
          <t>Net Income</t>
        </is>
      </c>
      <c r="B12" s="4" t="n">
        <v>42.1</v>
      </c>
      <c r="C12" s="4" t="n">
        <v>29.58</v>
      </c>
      <c r="D12" s="4">
        <f>C12-B12</f>
        <v/>
      </c>
      <c r="E12" s="5">
        <f>(C12-B12)/B12*100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Apple Inc. (AAPL) — Per-Share Metrics Variance</t>
        </is>
      </c>
    </row>
    <row r="3">
      <c r="A3" s="1" t="inlineStr">
        <is>
          <t>Metric</t>
        </is>
      </c>
      <c r="B3" s="3" t="inlineStr">
        <is>
          <t>Q1 FY2026</t>
        </is>
      </c>
      <c r="C3" s="3" t="inlineStr">
        <is>
          <t>Q2 FY2026</t>
        </is>
      </c>
      <c r="D3" s="3" t="inlineStr">
        <is>
          <t>Change ($)</t>
        </is>
      </c>
      <c r="E3" s="3" t="inlineStr">
        <is>
          <t>Change (%)</t>
        </is>
      </c>
    </row>
    <row r="4">
      <c r="A4" t="inlineStr">
        <is>
          <t>Diluted EPS</t>
        </is>
      </c>
      <c r="B4" s="5" t="n">
        <v>2.84</v>
      </c>
      <c r="C4" s="5" t="n">
        <v>2.01</v>
      </c>
      <c r="D4" s="5">
        <f>C4-B4</f>
        <v/>
      </c>
      <c r="E4" s="5">
        <f>(C4-B4)/B4*100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Apple Inc. (AAPL) — Balance Sheet Variance</t>
        </is>
      </c>
    </row>
    <row r="2">
      <c r="A2" s="2" t="inlineStr">
        <is>
          <t>Q1 FY2026 vs Q2 FY2026 (USD in Billions)</t>
        </is>
      </c>
    </row>
    <row r="4">
      <c r="A4" s="1" t="inlineStr">
        <is>
          <t>Line Item</t>
        </is>
      </c>
      <c r="B4" s="3" t="inlineStr">
        <is>
          <t>Q1 FY2026</t>
        </is>
      </c>
      <c r="C4" s="3" t="inlineStr">
        <is>
          <t>Q2 FY2026</t>
        </is>
      </c>
      <c r="D4" s="3" t="inlineStr">
        <is>
          <t>Change ($ B)</t>
        </is>
      </c>
      <c r="E4" s="3" t="inlineStr">
        <is>
          <t>Change (%)</t>
        </is>
      </c>
    </row>
    <row r="5">
      <c r="A5" t="inlineStr">
        <is>
          <t>Assets</t>
        </is>
      </c>
      <c r="B5" s="4" t="n">
        <v>379.3</v>
      </c>
      <c r="C5" s="4" t="n">
        <v>371.08</v>
      </c>
      <c r="D5" s="4">
        <f>C5-B5</f>
        <v/>
      </c>
      <c r="E5" s="5">
        <f>(C5-B5)/B5*100</f>
        <v/>
      </c>
    </row>
    <row r="6">
      <c r="A6" t="inlineStr">
        <is>
          <t>Liabilities</t>
        </is>
      </c>
      <c r="B6" s="4" t="n">
        <v>291.11</v>
      </c>
      <c r="C6" s="4" t="n">
        <v>264.59</v>
      </c>
      <c r="D6" s="4">
        <f>C6-B6</f>
        <v/>
      </c>
      <c r="E6" s="5">
        <f>(C6-B6)/B6*100</f>
        <v/>
      </c>
    </row>
    <row r="7">
      <c r="A7" t="inlineStr">
        <is>
          <t>Stockholders' Equity</t>
        </is>
      </c>
      <c r="B7" s="4" t="n">
        <v>88.19</v>
      </c>
      <c r="C7" s="4" t="n">
        <v>106.49</v>
      </c>
      <c r="D7" s="4">
        <f>C7-B7</f>
        <v/>
      </c>
      <c r="E7" s="5">
        <f>(C7-B7)/B7*100</f>
        <v/>
      </c>
    </row>
    <row r="8">
      <c r="A8" t="inlineStr">
        <is>
          <t>Cash and Cash Equivalents</t>
        </is>
      </c>
      <c r="B8" s="4" t="n">
        <v>45.32</v>
      </c>
      <c r="C8" s="4" t="n">
        <v>45.57</v>
      </c>
      <c r="D8" s="4">
        <f>C8-B8</f>
        <v/>
      </c>
      <c r="E8" s="5">
        <f>(C8-B8)/B8*100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Apple Inc. (AAPL) — Margin Analysis</t>
        </is>
      </c>
    </row>
    <row r="2">
      <c r="A2" s="2" t="inlineStr">
        <is>
          <t>Q1 FY2026 vs Q2 FY2026</t>
        </is>
      </c>
    </row>
    <row r="4">
      <c r="A4" s="1" t="inlineStr">
        <is>
          <t>Margin</t>
        </is>
      </c>
      <c r="B4" s="3" t="inlineStr">
        <is>
          <t>Q1 FY2026</t>
        </is>
      </c>
      <c r="C4" s="3" t="inlineStr">
        <is>
          <t>Q2 FY2026</t>
        </is>
      </c>
      <c r="D4" s="3" t="inlineStr">
        <is>
          <t>Change (pp)</t>
        </is>
      </c>
    </row>
    <row r="5">
      <c r="A5" t="inlineStr">
        <is>
          <t>Gross Margin</t>
        </is>
      </c>
      <c r="B5" s="5">
        <f>69.23/143.76*100</f>
        <v/>
      </c>
      <c r="C5" s="5">
        <f>54.78/111.18*100</f>
        <v/>
      </c>
      <c r="D5" s="5">
        <f>C5-B5</f>
        <v/>
      </c>
    </row>
    <row r="6">
      <c r="A6" t="inlineStr">
        <is>
          <t>Operating Margin</t>
        </is>
      </c>
      <c r="B6" s="5">
        <f>50.85/143.76*100</f>
        <v/>
      </c>
      <c r="C6" s="5">
        <f>35.89/111.18*100</f>
        <v/>
      </c>
      <c r="D6" s="5">
        <f>C6-B6</f>
        <v/>
      </c>
    </row>
    <row r="7">
      <c r="A7" t="inlineStr">
        <is>
          <t>Net Margin</t>
        </is>
      </c>
      <c r="B7" s="5">
        <f>42.10/143.76*100</f>
        <v/>
      </c>
      <c r="C7" s="5">
        <f>29.58/111.18*100</f>
        <v/>
      </c>
      <c r="D7" s="5">
        <f>C7-B7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2026-05-13T17:54:28Z</dcterms:created>
  <dcterms:modified xmlns:dcterms="http://purl.org/dc/terms/" xmlns:xsi="http://www.w3.org/2001/XMLSchema-instance" xsi:type="dcterms:W3CDTF">2026-05-13T17:54:28Z</dcterms:modified>
</cp:coreProperties>
</file>