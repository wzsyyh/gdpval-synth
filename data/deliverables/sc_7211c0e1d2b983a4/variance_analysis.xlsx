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rianc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x"/>
  </numFmts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i val="1"/>
      <color rgb="00000000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 vertical="center"/>
    </xf>
    <xf numFmtId="4" fontId="0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Meta Platforms, Inc. (META) - Financial Data Summary</t>
        </is>
      </c>
    </row>
    <row r="2">
      <c r="A2" s="2" t="inlineStr">
        <is>
          <t>All monetary values in billions ($B); EPS in dollars per share</t>
        </is>
      </c>
    </row>
    <row r="3">
      <c r="A3" s="3" t="inlineStr">
        <is>
          <t>Metric</t>
        </is>
      </c>
      <c r="B3" s="4" t="inlineStr">
        <is>
          <t>Q2 2025</t>
        </is>
      </c>
      <c r="C3" s="4" t="inlineStr">
        <is>
          <t>Q3 2025</t>
        </is>
      </c>
      <c r="D3" s="4" t="inlineStr">
        <is>
          <t>FY 2025</t>
        </is>
      </c>
      <c r="E3" s="4" t="inlineStr">
        <is>
          <t>Q1 2026</t>
        </is>
      </c>
    </row>
    <row r="4">
      <c r="A4" t="inlineStr">
        <is>
          <t>Revenue</t>
        </is>
      </c>
      <c r="B4" s="5" t="n">
        <v>89.83</v>
      </c>
      <c r="C4" s="5" t="n">
        <v>51.24</v>
      </c>
      <c r="D4" s="5" t="n">
        <v>200.97</v>
      </c>
      <c r="E4" s="5" t="n">
        <v>56.31</v>
      </c>
    </row>
    <row r="5">
      <c r="A5" t="inlineStr">
        <is>
          <t>Operating Income</t>
        </is>
      </c>
      <c r="B5" s="5" t="n">
        <v>38</v>
      </c>
      <c r="C5" s="5" t="n">
        <v>20.54</v>
      </c>
      <c r="D5" s="5" t="n">
        <v>83.28</v>
      </c>
      <c r="E5" s="5" t="n">
        <v>22.87</v>
      </c>
    </row>
    <row r="6">
      <c r="A6" t="inlineStr">
        <is>
          <t>Net Income</t>
        </is>
      </c>
      <c r="B6" s="5" t="n">
        <v>37.69</v>
      </c>
      <c r="C6" s="5" t="n">
        <v>2.71</v>
      </c>
      <c r="D6" s="5" t="n">
        <v>60.46</v>
      </c>
      <c r="E6" s="5" t="n">
        <v>26.77</v>
      </c>
    </row>
    <row r="7">
      <c r="A7" t="inlineStr">
        <is>
          <t>Assets</t>
        </is>
      </c>
      <c r="B7" s="5" t="n">
        <v>294.74</v>
      </c>
      <c r="C7" s="5" t="n">
        <v>303.84</v>
      </c>
      <c r="D7" s="5" t="n">
        <v>366.02</v>
      </c>
      <c r="E7" s="5" t="n">
        <v>395.25</v>
      </c>
    </row>
    <row r="8">
      <c r="A8" t="inlineStr">
        <is>
          <t>Liabilities</t>
        </is>
      </c>
      <c r="B8" s="5" t="n">
        <v>99.67</v>
      </c>
      <c r="C8" s="5" t="n">
        <v>109.78</v>
      </c>
      <c r="D8" s="5" t="n">
        <v>148.78</v>
      </c>
      <c r="E8" s="5" t="n">
        <v>151.57</v>
      </c>
    </row>
    <row r="9">
      <c r="A9" t="inlineStr">
        <is>
          <t>Stockholders' Equity</t>
        </is>
      </c>
      <c r="B9" s="5" t="n">
        <v>195.07</v>
      </c>
      <c r="C9" s="5" t="n">
        <v>194.07</v>
      </c>
      <c r="D9" s="5" t="n">
        <v>217.24</v>
      </c>
      <c r="E9" s="5" t="n">
        <v>243.68</v>
      </c>
    </row>
    <row r="10">
      <c r="A10" t="inlineStr">
        <is>
          <t>Cash &amp; Equivalents</t>
        </is>
      </c>
      <c r="B10" s="5" t="n">
        <v>12.01</v>
      </c>
      <c r="C10" s="5" t="n">
        <v>10.19</v>
      </c>
      <c r="D10" s="5" t="n">
        <v>35.87</v>
      </c>
      <c r="E10" s="5" t="n">
        <v>23.43</v>
      </c>
    </row>
    <row r="11">
      <c r="A11" t="inlineStr">
        <is>
          <t>EPS (Diluted)</t>
        </is>
      </c>
      <c r="B11" s="5" t="n">
        <v>13.56</v>
      </c>
      <c r="C11" s="5" t="n">
        <v>1.05</v>
      </c>
      <c r="D11" s="5" t="n">
        <v>23.49</v>
      </c>
      <c r="E11" s="5" t="n">
        <v>10.44</v>
      </c>
    </row>
    <row r="12">
      <c r="A12" t="inlineStr">
        <is>
          <t>R&amp;D Expense</t>
        </is>
      </c>
      <c r="B12" s="5" t="n">
        <v>25.09</v>
      </c>
      <c r="C12" s="5" t="n">
        <v>15.14</v>
      </c>
      <c r="D12" s="5" t="n">
        <v>57.37</v>
      </c>
      <c r="E12" s="5" t="n">
        <v>17.7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4" customWidth="1" min="4" max="4"/>
    <col width="14" customWidth="1" min="5" max="5"/>
    <col width="56" customWidth="1" min="6" max="6"/>
  </cols>
  <sheetData>
    <row r="1">
      <c r="A1" s="1" t="inlineStr">
        <is>
          <t>Variance Analysis: Q1 2026 vs Q3 2025</t>
        </is>
      </c>
    </row>
    <row r="3">
      <c r="A3" s="3" t="inlineStr">
        <is>
          <t>Metric</t>
        </is>
      </c>
      <c r="B3" s="4" t="inlineStr">
        <is>
          <t>Q1 2026 ($B)</t>
        </is>
      </c>
      <c r="C3" s="4" t="inlineStr">
        <is>
          <t>Q3 2025 ($B)</t>
        </is>
      </c>
      <c r="D3" s="4" t="inlineStr">
        <is>
          <t>Change ($B)</t>
        </is>
      </c>
      <c r="E3" s="4" t="inlineStr">
        <is>
          <t>% Change</t>
        </is>
      </c>
      <c r="F3" s="3" t="inlineStr">
        <is>
          <t>Commentary</t>
        </is>
      </c>
    </row>
    <row r="4">
      <c r="A4" t="inlineStr">
        <is>
          <t>Revenue</t>
        </is>
      </c>
      <c r="B4" s="5">
        <f>Inputs!E4</f>
        <v/>
      </c>
      <c r="C4" s="5">
        <f>Inputs!C4</f>
        <v/>
      </c>
      <c r="D4" s="5">
        <f>B4-C4</f>
        <v/>
      </c>
      <c r="E4" s="6">
        <f>D4/C4</f>
        <v/>
      </c>
      <c r="F4" t="inlineStr">
        <is>
          <t>Favorable - Revenue grew $5.07B or 9.9% QoQ</t>
        </is>
      </c>
    </row>
    <row r="5">
      <c r="A5" t="inlineStr">
        <is>
          <t>Operating Income</t>
        </is>
      </c>
      <c r="B5" s="5">
        <f>Inputs!E5</f>
        <v/>
      </c>
      <c r="C5" s="5">
        <f>Inputs!C5</f>
        <v/>
      </c>
      <c r="D5" s="5">
        <f>B5-C5</f>
        <v/>
      </c>
      <c r="E5" s="6">
        <f>D5/C5</f>
        <v/>
      </c>
      <c r="F5" t="inlineStr">
        <is>
          <t>Favorable - Operating income increased $2.33B or 11.4% QoQ</t>
        </is>
      </c>
    </row>
    <row r="6">
      <c r="A6" t="inlineStr">
        <is>
          <t>Net Income</t>
        </is>
      </c>
      <c r="B6" s="5">
        <f>Inputs!E6</f>
        <v/>
      </c>
      <c r="C6" s="5">
        <f>Inputs!C6</f>
        <v/>
      </c>
      <c r="D6" s="5">
        <f>B6-C6</f>
        <v/>
      </c>
      <c r="E6" s="6">
        <f>D6/C6</f>
        <v/>
      </c>
      <c r="F6" t="inlineStr">
        <is>
          <t>Favorable - Net income surged $24.06B from depressed Q3 2025 base</t>
        </is>
      </c>
    </row>
    <row r="7">
      <c r="A7" t="inlineStr">
        <is>
          <t>Assets</t>
        </is>
      </c>
      <c r="B7" s="5">
        <f>Inputs!E7</f>
        <v/>
      </c>
      <c r="C7" s="5">
        <f>Inputs!C7</f>
        <v/>
      </c>
      <c r="D7" s="5">
        <f>B7-C7</f>
        <v/>
      </c>
      <c r="E7" s="6">
        <f>D7/C7</f>
        <v/>
      </c>
      <c r="F7" t="inlineStr">
        <is>
          <t>Favorable - Total assets grew $91.41B, reflecting strong reinvestment</t>
        </is>
      </c>
    </row>
    <row r="8">
      <c r="A8" t="inlineStr">
        <is>
          <t>Liabilities</t>
        </is>
      </c>
      <c r="B8" s="5">
        <f>Inputs!E8</f>
        <v/>
      </c>
      <c r="C8" s="5">
        <f>Inputs!C8</f>
        <v/>
      </c>
      <c r="D8" s="5">
        <f>B8-C8</f>
        <v/>
      </c>
      <c r="E8" s="6">
        <f>D8/C8</f>
        <v/>
      </c>
      <c r="F8" t="inlineStr">
        <is>
          <t>Neutral to unfavorable - Liabilities rose $41.79B alongside asset growth</t>
        </is>
      </c>
    </row>
    <row r="9">
      <c r="A9" t="inlineStr">
        <is>
          <t>Stockholders' Equity</t>
        </is>
      </c>
      <c r="B9" s="5">
        <f>Inputs!E9</f>
        <v/>
      </c>
      <c r="C9" s="5">
        <f>Inputs!C9</f>
        <v/>
      </c>
      <c r="D9" s="5">
        <f>B9-C9</f>
        <v/>
      </c>
      <c r="E9" s="6">
        <f>D9/C9</f>
        <v/>
      </c>
      <c r="F9" t="inlineStr">
        <is>
          <t>Favorable - Equity increased $49.61B, strengthening balance sheet</t>
        </is>
      </c>
    </row>
    <row r="10">
      <c r="A10" t="inlineStr">
        <is>
          <t>Cash &amp; Equivalents</t>
        </is>
      </c>
      <c r="B10" s="5">
        <f>Inputs!E10</f>
        <v/>
      </c>
      <c r="C10" s="5">
        <f>Inputs!C10</f>
        <v/>
      </c>
      <c r="D10" s="5">
        <f>B10-C10</f>
        <v/>
      </c>
      <c r="E10" s="6">
        <f>D10/C10</f>
        <v/>
      </c>
      <c r="F10" t="inlineStr">
        <is>
          <t>Favorable - Cash position improved $13.24B from Q3 2025 trough</t>
        </is>
      </c>
    </row>
    <row r="11">
      <c r="A11" t="inlineStr">
        <is>
          <t>EPS (Diluted)</t>
        </is>
      </c>
      <c r="B11" s="5">
        <f>Inputs!E11</f>
        <v/>
      </c>
      <c r="C11" s="5">
        <f>Inputs!C11</f>
        <v/>
      </c>
      <c r="D11" s="5">
        <f>B11-C11</f>
        <v/>
      </c>
      <c r="E11" s="6">
        <f>D11/C11</f>
        <v/>
      </c>
      <c r="F11" t="inlineStr">
        <is>
          <t>Favorable - EPS recovered to $10.44 from $1.05 low in Q3</t>
        </is>
      </c>
    </row>
    <row r="12">
      <c r="A12" t="inlineStr">
        <is>
          <t>R&amp;D Expense</t>
        </is>
      </c>
      <c r="B12" s="5">
        <f>Inputs!E12</f>
        <v/>
      </c>
      <c r="C12" s="5">
        <f>Inputs!C12</f>
        <v/>
      </c>
      <c r="D12" s="5">
        <f>B12-C12</f>
        <v/>
      </c>
      <c r="E12" s="6">
        <f>D12/C12</f>
        <v/>
      </c>
      <c r="F12" t="inlineStr">
        <is>
          <t>Unfavorable - R&amp;D spending increased $2.56B as Meta invests in AI infrastructure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Ratio Analysis: Q1 2026 vs Q3 2025</t>
        </is>
      </c>
    </row>
    <row r="3">
      <c r="A3" s="3" t="inlineStr">
        <is>
          <t>Ratio</t>
        </is>
      </c>
      <c r="B3" s="4" t="inlineStr">
        <is>
          <t>Q1 2026</t>
        </is>
      </c>
      <c r="C3" s="4" t="inlineStr">
        <is>
          <t>Q3 2025</t>
        </is>
      </c>
      <c r="D3" s="4" t="inlineStr">
        <is>
          <t>Change</t>
        </is>
      </c>
      <c r="E3" s="7" t="inlineStr">
        <is>
          <t>Direction</t>
        </is>
      </c>
    </row>
    <row r="4">
      <c r="A4" t="inlineStr">
        <is>
          <t>Operating Margin</t>
        </is>
      </c>
      <c r="B4" s="6">
        <f>Inputs!E5/Inputs!E4</f>
        <v/>
      </c>
      <c r="C4" s="6">
        <f>Inputs!C5/Inputs!C4</f>
        <v/>
      </c>
      <c r="D4" s="8">
        <f>B4-C4</f>
        <v/>
      </c>
      <c r="E4" s="9">
        <f>IF(D4&gt;0,"Up","Down")</f>
        <v/>
      </c>
    </row>
    <row r="5">
      <c r="A5" t="inlineStr">
        <is>
          <t>Net Margin</t>
        </is>
      </c>
      <c r="B5" s="6">
        <f>Inputs!E6/Inputs!E4</f>
        <v/>
      </c>
      <c r="C5" s="6">
        <f>Inputs!C6/Inputs!C4</f>
        <v/>
      </c>
      <c r="D5" s="8">
        <f>B5-C5</f>
        <v/>
      </c>
      <c r="E5" s="9">
        <f>IF(D5&gt;0,"Up","Down")</f>
        <v/>
      </c>
    </row>
    <row r="6">
      <c r="A6" t="inlineStr">
        <is>
          <t>Debt-to-Equity</t>
        </is>
      </c>
      <c r="B6" s="10">
        <f>Inputs!E8/Inputs!E9</f>
        <v/>
      </c>
      <c r="C6" s="10">
        <f>Inputs!C8/Inputs!C9</f>
        <v/>
      </c>
      <c r="D6" s="10">
        <f>B6-C6</f>
        <v/>
      </c>
      <c r="E6" s="9">
        <f>IF(D6&gt;0,"Up","Down")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Executive Summary: Meta Q1 2026 vs Q3 2025 Variance Analysis</t>
        </is>
      </c>
    </row>
    <row r="3">
      <c r="A3" t="inlineStr">
        <is>
          <t>Meta Platforms delivered a strong Q1 2026, with revenue of $56.31B representing a 9.9% increase from Q3 2025's $51.24B. Operating income improved to $22.87B from $20.54B (up 11.4%), while net income surged to $26.77B from just $2.71B in Q3, reflecting the normalization of non-operating items that had depressed the prior quarter. Operating margin expanded from 40.1% to 40.6%, and the balance sheet strengthened with equity rising to $243.68B. However, R&amp;D spending increased $2.56B to $17.70B as Meta continues its aggressive AI investment cycle, and the debt-to-equity ratio ticked slightly higher to 0.62x from 0.57x.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2026-05-13T18:38:15Z</dcterms:created>
  <dcterms:modified xmlns:dcterms="http://purl.org/dc/terms/" xmlns:xsi="http://www.w3.org/2001/XMLSchema-instance" xsi:type="dcterms:W3CDTF">2026-05-13T18:38:15Z</dcterms:modified>
</cp:coreProperties>
</file>