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Variance" sheetId="1" state="visible" r:id="rId1"/>
    <sheet xmlns:r="http://schemas.openxmlformats.org/officeDocument/2006/relationships" name="Balance Sheet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Boeing (BA) Q1 2026 vs Q3 2025 Variance Analysis</t>
        </is>
      </c>
    </row>
    <row r="2">
      <c r="A2" s="2" t="inlineStr">
        <is>
          <t>All monetary values in USD millions unless otherwise noted</t>
        </is>
      </c>
    </row>
    <row r="4">
      <c r="A4" s="1" t="inlineStr">
        <is>
          <t>Line Item</t>
        </is>
      </c>
      <c r="B4" s="3" t="inlineStr">
        <is>
          <t>Q1 2026</t>
        </is>
      </c>
      <c r="C4" s="3" t="inlineStr">
        <is>
          <t>Q3 2025</t>
        </is>
      </c>
      <c r="D4" s="3" t="inlineStr">
        <is>
          <t>Abs Variance ($M)</t>
        </is>
      </c>
      <c r="E4" s="3" t="inlineStr">
        <is>
          <t>% Variance</t>
        </is>
      </c>
    </row>
    <row r="5">
      <c r="A5" s="4" t="inlineStr">
        <is>
          <t>Revenue</t>
        </is>
      </c>
      <c r="B5" s="5" t="n">
        <v>22217</v>
      </c>
      <c r="C5" s="5" t="n">
        <v>23270</v>
      </c>
      <c r="D5" s="5">
        <f>B5-C5</f>
        <v/>
      </c>
      <c r="E5" s="6">
        <f>D5/ABS(C5)</f>
        <v/>
      </c>
    </row>
    <row r="6">
      <c r="A6" s="4" t="inlineStr">
        <is>
          <t>Gross Profit</t>
        </is>
      </c>
      <c r="B6" s="5" t="n">
        <v>2546</v>
      </c>
      <c r="C6" s="5" t="n">
        <v>-2375</v>
      </c>
      <c r="D6" s="5">
        <f>B6-C6</f>
        <v/>
      </c>
      <c r="E6" s="6">
        <f>D6/ABS(C6)</f>
        <v/>
      </c>
    </row>
    <row r="7">
      <c r="A7" s="4" t="inlineStr">
        <is>
          <t>Operating Income (Loss)</t>
        </is>
      </c>
      <c r="B7" s="5" t="n">
        <v>448</v>
      </c>
      <c r="C7" s="5" t="n">
        <v>-4781</v>
      </c>
      <c r="D7" s="5">
        <f>B7-C7</f>
        <v/>
      </c>
      <c r="E7" s="6">
        <f>D7/ABS(C7)</f>
        <v/>
      </c>
    </row>
    <row r="8">
      <c r="A8" s="4" t="inlineStr">
        <is>
          <t>Net Income (Loss)</t>
        </is>
      </c>
      <c r="B8" s="5" t="n">
        <v>-4</v>
      </c>
      <c r="C8" s="5" t="n">
        <v>-5337</v>
      </c>
      <c r="D8" s="5">
        <f>B8-C8</f>
        <v/>
      </c>
      <c r="E8" s="6">
        <f>D8/ABS(C8)</f>
        <v/>
      </c>
    </row>
    <row r="9">
      <c r="A9" s="4" t="inlineStr">
        <is>
          <t>Diluted EPS</t>
        </is>
      </c>
      <c r="B9" s="7" t="n">
        <v>-0.11</v>
      </c>
      <c r="C9" s="7" t="n">
        <v>-7.14</v>
      </c>
      <c r="D9" s="7">
        <f>B9-C9</f>
        <v/>
      </c>
      <c r="E9" s="6">
        <f>D9/ABS(C9)</f>
        <v/>
      </c>
    </row>
    <row r="10">
      <c r="A10" s="4" t="inlineStr">
        <is>
          <t>R&amp;D Expense</t>
        </is>
      </c>
      <c r="B10" s="5" t="n">
        <v>903</v>
      </c>
      <c r="C10" s="5" t="n">
        <v>897</v>
      </c>
      <c r="D10" s="5">
        <f>B10-C10</f>
        <v/>
      </c>
      <c r="E10" s="6">
        <f>D10/ABS(C10)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Boeing (BA) Balance Sheet Trend - Q1 2026 vs Q3 2025</t>
        </is>
      </c>
    </row>
    <row r="2">
      <c r="A2" s="2" t="inlineStr">
        <is>
          <t>All values in USD millions</t>
        </is>
      </c>
    </row>
    <row r="4">
      <c r="A4" s="1" t="inlineStr">
        <is>
          <t>Line Item</t>
        </is>
      </c>
      <c r="B4" s="3" t="inlineStr">
        <is>
          <t>Q1 2026</t>
        </is>
      </c>
      <c r="C4" s="3" t="inlineStr">
        <is>
          <t>Q2 2025</t>
        </is>
      </c>
      <c r="D4" s="3" t="inlineStr">
        <is>
          <t>Q3 2025</t>
        </is>
      </c>
      <c r="E4" s="3" t="inlineStr">
        <is>
          <t>Abs Variance ($M)</t>
        </is>
      </c>
      <c r="F4" s="3" t="inlineStr">
        <is>
          <t>% Variance</t>
        </is>
      </c>
    </row>
    <row r="5">
      <c r="A5" s="4" t="inlineStr">
        <is>
          <t>Total Assets</t>
        </is>
      </c>
      <c r="B5" s="5" t="n">
        <v>164787</v>
      </c>
      <c r="C5" s="5" t="n">
        <v>155120</v>
      </c>
      <c r="D5" s="5" t="n">
        <v>150023</v>
      </c>
      <c r="E5" s="5">
        <f>B5-D5</f>
        <v/>
      </c>
      <c r="F5" s="6">
        <f>E5/ABS(D5)</f>
        <v/>
      </c>
    </row>
    <row r="6">
      <c r="A6" s="4" t="inlineStr">
        <is>
          <t>Total Liabilities</t>
        </is>
      </c>
      <c r="B6" s="5" t="n">
        <v>158800</v>
      </c>
      <c r="C6" s="5" t="n">
        <v>158416</v>
      </c>
      <c r="D6" s="5" t="n">
        <v>158276</v>
      </c>
      <c r="E6" s="5">
        <f>B6-D6</f>
        <v/>
      </c>
      <c r="F6" s="6">
        <f>E6/ABS(D6)</f>
        <v/>
      </c>
    </row>
    <row r="7">
      <c r="A7" s="4" t="inlineStr">
        <is>
          <t>Stockholders Equity</t>
        </is>
      </c>
      <c r="B7" s="5" t="n">
        <v>5987</v>
      </c>
      <c r="C7" s="5" t="n">
        <v>-3295</v>
      </c>
      <c r="D7" s="5" t="n">
        <v>-8250</v>
      </c>
      <c r="E7" s="5">
        <f>B7-D7</f>
        <v/>
      </c>
      <c r="F7" s="6">
        <f>E7/ABS(D7)</f>
        <v/>
      </c>
    </row>
    <row r="8">
      <c r="A8" s="4" t="inlineStr">
        <is>
          <t>Cash and Cash Equivalents</t>
        </is>
      </c>
      <c r="B8" s="5" t="n">
        <v>9441</v>
      </c>
      <c r="C8" s="5" t="n">
        <v>7087</v>
      </c>
      <c r="D8" s="5" t="n">
        <v>6173</v>
      </c>
      <c r="E8" s="5">
        <f>B8-D8</f>
        <v/>
      </c>
      <c r="F8" s="6">
        <f>E8/ABS(D8)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2026-05-13T18:40:24Z</dcterms:created>
  <dcterms:modified xmlns:dcterms="http://purl.org/dc/terms/" xmlns:xsi="http://www.w3.org/2001/XMLSchema-instance" xsi:type="dcterms:W3CDTF">2026-05-13T18:40:24Z</dcterms:modified>
</cp:coreProperties>
</file>