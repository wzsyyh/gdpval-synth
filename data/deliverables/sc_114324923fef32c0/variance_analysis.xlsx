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Variance Calculation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applyAlignment="1" pivotButton="0" quotePrefix="0" xfId="0">
      <alignment horizontal="right" vertical="center"/>
    </xf>
    <xf numFmtId="2" fontId="0" fillId="3" borderId="0" applyAlignment="1" pivotButton="0" quotePrefix="0" xfId="0">
      <alignment horizontal="right" vertical="center"/>
    </xf>
    <xf numFmtId="165" fontId="0" fillId="3" borderId="0" pivotButton="0" quotePrefix="0" xfId="0"/>
    <xf numFmtId="0" fontId="2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8" customWidth="1" min="3" max="3"/>
    <col width="15" customWidth="1" min="4" max="4"/>
  </cols>
  <sheetData>
    <row r="1">
      <c r="A1" s="1" t="inlineStr">
        <is>
          <t>Chevron Corp (CVX) - Variance Analysis Inputs</t>
        </is>
      </c>
    </row>
    <row r="3">
      <c r="A3" s="1" t="inlineStr">
        <is>
          <t>Line Item</t>
        </is>
      </c>
      <c r="B3" s="1" t="inlineStr">
        <is>
          <t>Q1 2026</t>
        </is>
      </c>
      <c r="C3" s="1" t="inlineStr">
        <is>
          <t>Q3 2025 (Qtrly)</t>
        </is>
      </c>
      <c r="D3" s="1" t="inlineStr">
        <is>
          <t>FY 2025</t>
        </is>
      </c>
    </row>
    <row r="4">
      <c r="A4" s="2" t="inlineStr">
        <is>
          <t>Revenues</t>
        </is>
      </c>
      <c r="B4" s="3" t="n">
        <v>48.607</v>
      </c>
      <c r="C4" s="3" t="n">
        <v>49.726</v>
      </c>
      <c r="D4" s="3" t="n">
        <v>189.031</v>
      </c>
    </row>
    <row r="5">
      <c r="A5" s="2" t="inlineStr">
        <is>
          <t>RevenueFromContractWithCustomerExcludingAssessedTax</t>
        </is>
      </c>
      <c r="B5" s="3" t="n">
        <v>47.556</v>
      </c>
      <c r="C5" s="3" t="n">
        <v>48.169</v>
      </c>
      <c r="D5" s="3" t="n">
        <v>184.432</v>
      </c>
    </row>
    <row r="6">
      <c r="A6" s="2" t="inlineStr">
        <is>
          <t>CostOfGoodsAndServicesSold</t>
        </is>
      </c>
      <c r="B6" s="3" t="n">
        <v>28.265</v>
      </c>
      <c r="C6" s="3" t="n">
        <v>27.398</v>
      </c>
      <c r="D6" s="3" t="n">
        <v>108.214</v>
      </c>
    </row>
    <row r="7">
      <c r="A7" s="2" t="inlineStr">
        <is>
          <t>NetIncomeLoss</t>
        </is>
      </c>
      <c r="B7" s="3" t="n">
        <v>2.21</v>
      </c>
      <c r="C7" s="3" t="n">
        <v>3.539</v>
      </c>
      <c r="D7" s="3" t="n">
        <v>12.299</v>
      </c>
    </row>
    <row r="8">
      <c r="A8" s="2" t="inlineStr">
        <is>
          <t>EarningsPerShareDiluted</t>
        </is>
      </c>
      <c r="B8" s="4" t="n">
        <v>1.11</v>
      </c>
      <c r="C8" s="4" t="n">
        <v>1.82</v>
      </c>
      <c r="D8" s="4" t="n">
        <v>6.63</v>
      </c>
    </row>
    <row r="9">
      <c r="A9" s="2" t="inlineStr">
        <is>
          <t>SellingGeneralAndAdministrativeExpense</t>
        </is>
      </c>
      <c r="B9" s="3" t="n">
        <v>1.066</v>
      </c>
      <c r="C9" s="3" t="n">
        <v>1.524</v>
      </c>
      <c r="D9" s="3" t="n">
        <v>5.126</v>
      </c>
    </row>
    <row r="10">
      <c r="A10" s="2" t="inlineStr">
        <is>
          <t>Assets</t>
        </is>
      </c>
      <c r="B10" s="3" t="n">
        <v>329.551</v>
      </c>
      <c r="C10" s="3" t="n">
        <v>326.501</v>
      </c>
      <c r="D10" s="3" t="n">
        <v>324.012</v>
      </c>
    </row>
    <row r="11">
      <c r="A11" s="2" t="inlineStr">
        <is>
          <t>Liabilities</t>
        </is>
      </c>
      <c r="B11" s="3" t="n">
        <v>140.18</v>
      </c>
      <c r="C11" s="3" t="n">
        <v>130.901</v>
      </c>
      <c r="D11" s="3" t="n">
        <v>131.836</v>
      </c>
    </row>
    <row r="12">
      <c r="A12" s="2" t="inlineStr">
        <is>
          <t>StockholdersEquity</t>
        </is>
      </c>
      <c r="B12" s="3" t="n">
        <v>183.715</v>
      </c>
      <c r="C12" s="3" t="n">
        <v>189.843</v>
      </c>
      <c r="D12" s="3" t="n">
        <v>186.45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8" customWidth="1" min="9" max="9"/>
  </cols>
  <sheetData>
    <row r="1">
      <c r="A1" s="1" t="inlineStr">
        <is>
          <t>Variance Calculations - Q1 2026 vs Prior Periods</t>
        </is>
      </c>
    </row>
    <row r="3">
      <c r="A3" s="1" t="inlineStr">
        <is>
          <t>Line Item</t>
        </is>
      </c>
      <c r="B3" s="1" t="inlineStr">
        <is>
          <t>Q1 2026</t>
        </is>
      </c>
      <c r="C3" s="1" t="inlineStr">
        <is>
          <t>Q3 2025 (Qtrly)</t>
        </is>
      </c>
      <c r="D3" s="1" t="inlineStr">
        <is>
          <t>$ Change (QoQ)</t>
        </is>
      </c>
      <c r="E3" s="1" t="inlineStr">
        <is>
          <t>% Change (QoQ)</t>
        </is>
      </c>
      <c r="F3" s="1" t="inlineStr">
        <is>
          <t>Ann. Q1 2026</t>
        </is>
      </c>
      <c r="G3" s="1" t="inlineStr">
        <is>
          <t>FY 2025</t>
        </is>
      </c>
      <c r="H3" s="1" t="inlineStr">
        <is>
          <t>$ Variance (Ann.)</t>
        </is>
      </c>
      <c r="I3" s="1" t="inlineStr">
        <is>
          <t>% Variance (Ann.)</t>
        </is>
      </c>
    </row>
    <row r="4">
      <c r="A4" s="2" t="inlineStr">
        <is>
          <t>Revenues</t>
        </is>
      </c>
      <c r="B4" s="2">
        <f>Inputs!B4</f>
        <v/>
      </c>
      <c r="C4" s="2">
        <f>Inputs!C4</f>
        <v/>
      </c>
      <c r="D4" s="2">
        <f>Inputs!B4-Inputs!C4</f>
        <v/>
      </c>
      <c r="E4" s="5">
        <f>D4/Inputs!C4</f>
        <v/>
      </c>
      <c r="F4" s="2">
        <f>Inputs!B4*4</f>
        <v/>
      </c>
      <c r="G4" s="2">
        <f>Inputs!D4</f>
        <v/>
      </c>
      <c r="H4" s="2">
        <f>F4-G4</f>
        <v/>
      </c>
      <c r="I4" s="5">
        <f>H4/G4</f>
        <v/>
      </c>
    </row>
    <row r="5">
      <c r="A5" s="2" t="inlineStr">
        <is>
          <t>RevenueFromContractWithCustomerExcludingAssessedTax</t>
        </is>
      </c>
      <c r="B5" s="2">
        <f>Inputs!B5</f>
        <v/>
      </c>
      <c r="C5" s="2">
        <f>Inputs!C5</f>
        <v/>
      </c>
      <c r="D5" s="2">
        <f>Inputs!B5-Inputs!C5</f>
        <v/>
      </c>
      <c r="E5" s="5">
        <f>D5/Inputs!C5</f>
        <v/>
      </c>
      <c r="F5" s="2">
        <f>Inputs!B5*4</f>
        <v/>
      </c>
      <c r="G5" s="2">
        <f>Inputs!D5</f>
        <v/>
      </c>
      <c r="H5" s="2">
        <f>F5-G5</f>
        <v/>
      </c>
      <c r="I5" s="5">
        <f>H5/G5</f>
        <v/>
      </c>
    </row>
    <row r="6">
      <c r="A6" s="2" t="inlineStr">
        <is>
          <t>CostOfGoodsAndServicesSold</t>
        </is>
      </c>
      <c r="B6" s="2">
        <f>Inputs!B6</f>
        <v/>
      </c>
      <c r="C6" s="2">
        <f>Inputs!C6</f>
        <v/>
      </c>
      <c r="D6" s="2">
        <f>Inputs!B6-Inputs!C6</f>
        <v/>
      </c>
      <c r="E6" s="5">
        <f>D6/Inputs!C6</f>
        <v/>
      </c>
      <c r="F6" s="2">
        <f>Inputs!B6*4</f>
        <v/>
      </c>
      <c r="G6" s="2">
        <f>Inputs!D6</f>
        <v/>
      </c>
      <c r="H6" s="2">
        <f>F6-G6</f>
        <v/>
      </c>
      <c r="I6" s="5">
        <f>H6/G6</f>
        <v/>
      </c>
    </row>
    <row r="7">
      <c r="A7" s="2" t="inlineStr">
        <is>
          <t>NetIncomeLoss</t>
        </is>
      </c>
      <c r="B7" s="2">
        <f>Inputs!B7</f>
        <v/>
      </c>
      <c r="C7" s="2">
        <f>Inputs!C7</f>
        <v/>
      </c>
      <c r="D7" s="2">
        <f>Inputs!B7-Inputs!C7</f>
        <v/>
      </c>
      <c r="E7" s="5">
        <f>D7/Inputs!C7</f>
        <v/>
      </c>
      <c r="F7" s="2">
        <f>Inputs!B7*4</f>
        <v/>
      </c>
      <c r="G7" s="2">
        <f>Inputs!D7</f>
        <v/>
      </c>
      <c r="H7" s="2">
        <f>F7-G7</f>
        <v/>
      </c>
      <c r="I7" s="5">
        <f>H7/G7</f>
        <v/>
      </c>
    </row>
    <row r="8">
      <c r="A8" s="2" t="inlineStr">
        <is>
          <t>EarningsPerShareDiluted</t>
        </is>
      </c>
      <c r="B8" s="2">
        <f>Inputs!B8</f>
        <v/>
      </c>
      <c r="C8" s="2">
        <f>Inputs!C8</f>
        <v/>
      </c>
      <c r="D8" s="2">
        <f>Inputs!B8-Inputs!C8</f>
        <v/>
      </c>
      <c r="E8" s="5">
        <f>D8/Inputs!C8</f>
        <v/>
      </c>
      <c r="F8" s="2">
        <f>Inputs!B8*4</f>
        <v/>
      </c>
      <c r="G8" s="2">
        <f>Inputs!D8</f>
        <v/>
      </c>
      <c r="H8" s="2">
        <f>F8-G8</f>
        <v/>
      </c>
      <c r="I8" s="5">
        <f>H8/G8</f>
        <v/>
      </c>
    </row>
    <row r="9">
      <c r="A9" s="2" t="inlineStr">
        <is>
          <t>SellingGeneralAndAdministrativeExpense</t>
        </is>
      </c>
      <c r="B9" s="2">
        <f>Inputs!B9</f>
        <v/>
      </c>
      <c r="C9" s="2">
        <f>Inputs!C9</f>
        <v/>
      </c>
      <c r="D9" s="2">
        <f>Inputs!B9-Inputs!C9</f>
        <v/>
      </c>
      <c r="E9" s="5">
        <f>D9/Inputs!C9</f>
        <v/>
      </c>
      <c r="F9" s="2">
        <f>Inputs!B9*4</f>
        <v/>
      </c>
      <c r="G9" s="2">
        <f>Inputs!D9</f>
        <v/>
      </c>
      <c r="H9" s="2">
        <f>F9-G9</f>
        <v/>
      </c>
      <c r="I9" s="5">
        <f>H9/G9</f>
        <v/>
      </c>
    </row>
    <row r="10">
      <c r="A10" s="2" t="inlineStr">
        <is>
          <t>Assets</t>
        </is>
      </c>
      <c r="B10" s="2">
        <f>Inputs!B10</f>
        <v/>
      </c>
      <c r="C10" s="2">
        <f>Inputs!C10</f>
        <v/>
      </c>
      <c r="D10" s="2">
        <f>Inputs!B10-Inputs!C10</f>
        <v/>
      </c>
      <c r="E10" s="5">
        <f>D10/Inputs!C10</f>
        <v/>
      </c>
      <c r="F10" s="2">
        <f>Inputs!B10*4</f>
        <v/>
      </c>
      <c r="G10" s="2">
        <f>Inputs!D10</f>
        <v/>
      </c>
      <c r="H10" s="2">
        <f>F10-G10</f>
        <v/>
      </c>
      <c r="I10" s="5">
        <f>H10/G10</f>
        <v/>
      </c>
    </row>
    <row r="11">
      <c r="A11" s="2" t="inlineStr">
        <is>
          <t>Liabilities</t>
        </is>
      </c>
      <c r="B11" s="2">
        <f>Inputs!B11</f>
        <v/>
      </c>
      <c r="C11" s="2">
        <f>Inputs!C11</f>
        <v/>
      </c>
      <c r="D11" s="2">
        <f>Inputs!B11-Inputs!C11</f>
        <v/>
      </c>
      <c r="E11" s="5">
        <f>D11/Inputs!C11</f>
        <v/>
      </c>
      <c r="F11" s="2">
        <f>Inputs!B11*4</f>
        <v/>
      </c>
      <c r="G11" s="2">
        <f>Inputs!D11</f>
        <v/>
      </c>
      <c r="H11" s="2">
        <f>F11-G11</f>
        <v/>
      </c>
      <c r="I11" s="5">
        <f>H11/G11</f>
        <v/>
      </c>
    </row>
    <row r="12">
      <c r="A12" s="2" t="inlineStr">
        <is>
          <t>StockholdersEquity</t>
        </is>
      </c>
      <c r="B12" s="2">
        <f>Inputs!B12</f>
        <v/>
      </c>
      <c r="C12" s="2">
        <f>Inputs!C12</f>
        <v/>
      </c>
      <c r="D12" s="2">
        <f>Inputs!B12-Inputs!C12</f>
        <v/>
      </c>
      <c r="E12" s="5">
        <f>D12/Inputs!C12</f>
        <v/>
      </c>
      <c r="F12" s="2">
        <f>Inputs!B12*4</f>
        <v/>
      </c>
      <c r="G12" s="2">
        <f>Inputs!D12</f>
        <v/>
      </c>
      <c r="H12" s="2">
        <f>F12-G12</f>
        <v/>
      </c>
      <c r="I12" s="5">
        <f>H12/G12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Q1 2026 Performance Analysis</t>
        </is>
      </c>
    </row>
    <row r="3">
      <c r="A3" s="6" t="inlineStr">
        <is>
          <t>1. Largest Percentage Variances (Q1 2026 vs Q3 2025 Quarterly)</t>
        </is>
      </c>
    </row>
    <row r="4">
      <c r="A4" t="inlineStr">
        <is>
          <t>The three line items with the largest percentage declines from Q3 2025 quarterly to Q1 2026 are: EarningsPerShareDiluted declined by approximately 39.0% (from $1.82 to $1.11), NetIncomeLoss declined by approximately 37.5% (from $3.539B to $2.210B), and SellingGeneralAndAdministrativeExpense declined by approximately 30.0% (from $1.524B to $1.066B).</t>
        </is>
      </c>
    </row>
    <row r="6">
      <c r="A6" s="6" t="inlineStr">
        <is>
          <t>2. Revenue Composition</t>
        </is>
      </c>
    </row>
    <row r="7">
      <c r="A7" t="inlineStr">
        <is>
          <t>In Q1 2026, total Revenues were $48.607B while RevenueFromContractWithCustomerExcludingAssessedTax was $47.556B. The difference of $1.051B represents assessed taxes and similar items collected on behalf of third parties, which is approximately 2.2% of total revenue and not part of Chevron's core revenue from contracts with customers.</t>
        </is>
      </c>
    </row>
    <row r="9">
      <c r="A9" s="6" t="inlineStr">
        <is>
          <t>3. Annualized Net Income Comparison</t>
        </is>
      </c>
    </row>
    <row r="10">
      <c r="A10" t="inlineStr">
        <is>
          <t>Q1 2026 annualized net income (Q1 2026 of $2.210B multiplied by 4) equals $8.840B, which is $3.459B or 28.1% below FY 2025 net income of $12.299B. This significant shortfall suggests that if Q1 2026 performance continues at this pace, full-year 2026 profitability would be materially below FY 2025 levels, warranting close monitoring of commodity price trends and operational efficiency initiatives.</t>
        </is>
      </c>
    </row>
    <row r="12">
      <c r="A12" s="6" t="inlineStr">
        <is>
          <t>4. Balance Sheet Changes</t>
        </is>
      </c>
    </row>
    <row r="13">
      <c r="A13" t="inlineStr">
        <is>
          <t>From Q3 2025 quarterly to Q1 2026, stockholders' equity decreased by $6.128B (from $189.843B to $183.715B, a 3.2% decline) while total assets increased by $3.050B (from $326.501B to $329.551B, a 0.9% increase). This divergence indicates that total liabilities increased by $9.179B (from $130.901B to $140.180B, a 7.0% increase), suggesting the company funded asset growth primarily through increased leverage rather than retained earnings.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Executive Summary - Top 5 Material Variances (Q1 2026 vs Q3 2025 Quarterly)</t>
        </is>
      </c>
    </row>
    <row r="3">
      <c r="A3" s="1" t="inlineStr">
        <is>
          <t>Rank</t>
        </is>
      </c>
      <c r="B3" s="1" t="inlineStr">
        <is>
          <t>Line Item</t>
        </is>
      </c>
      <c r="C3" s="1" t="inlineStr">
        <is>
          <t>Q1 2026</t>
        </is>
      </c>
      <c r="D3" s="1" t="inlineStr">
        <is>
          <t>Q3 2025 (Qtrly)</t>
        </is>
      </c>
      <c r="E3" s="1" t="inlineStr">
        <is>
          <t>$ Change</t>
        </is>
      </c>
      <c r="F3" s="1" t="inlineStr">
        <is>
          <t>% Change</t>
        </is>
      </c>
    </row>
    <row r="4">
      <c r="A4" s="2" t="n">
        <v>1</v>
      </c>
      <c r="B4" s="2" t="inlineStr">
        <is>
          <t>StockholdersEquity</t>
        </is>
      </c>
      <c r="C4" s="7" t="n">
        <v>183.715</v>
      </c>
      <c r="D4" s="7">
        <f>Inputs!C12</f>
        <v/>
      </c>
      <c r="E4" s="7">
        <f>C4-D4</f>
        <v/>
      </c>
      <c r="F4" s="5">
        <f>E4/D4</f>
        <v/>
      </c>
    </row>
    <row r="5">
      <c r="A5" s="2" t="n">
        <v>2</v>
      </c>
      <c r="B5" s="2" t="inlineStr">
        <is>
          <t>Liabilities</t>
        </is>
      </c>
      <c r="C5" s="7" t="n">
        <v>140.18</v>
      </c>
      <c r="D5" s="7">
        <f>Inputs!C11</f>
        <v/>
      </c>
      <c r="E5" s="7">
        <f>C5-D5</f>
        <v/>
      </c>
      <c r="F5" s="5">
        <f>E5/D5</f>
        <v/>
      </c>
    </row>
    <row r="6">
      <c r="A6" s="2" t="n">
        <v>3</v>
      </c>
      <c r="B6" s="2" t="inlineStr">
        <is>
          <t>Revenues</t>
        </is>
      </c>
      <c r="C6" s="7" t="n">
        <v>48.607</v>
      </c>
      <c r="D6" s="7">
        <f>Inputs!C4</f>
        <v/>
      </c>
      <c r="E6" s="7">
        <f>C6-D6</f>
        <v/>
      </c>
      <c r="F6" s="5">
        <f>E6/D6</f>
        <v/>
      </c>
    </row>
    <row r="7">
      <c r="A7" s="2" t="n">
        <v>4</v>
      </c>
      <c r="B7" s="2" t="inlineStr">
        <is>
          <t>Assets</t>
        </is>
      </c>
      <c r="C7" s="7" t="n">
        <v>329.551</v>
      </c>
      <c r="D7" s="7">
        <f>Inputs!C10</f>
        <v/>
      </c>
      <c r="E7" s="7">
        <f>C7-D7</f>
        <v/>
      </c>
      <c r="F7" s="5">
        <f>E7/D7</f>
        <v/>
      </c>
    </row>
    <row r="8">
      <c r="A8" s="2" t="n">
        <v>5</v>
      </c>
      <c r="B8" s="2" t="inlineStr">
        <is>
          <t>NetIncomeLoss</t>
        </is>
      </c>
      <c r="C8" s="7" t="n">
        <v>2.21</v>
      </c>
      <c r="D8" s="7">
        <f>Inputs!C7</f>
        <v/>
      </c>
      <c r="E8" s="7">
        <f>C8-D8</f>
        <v/>
      </c>
      <c r="F8" s="5">
        <f>E8/D8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2026-05-13T17:41:08Z</dcterms:created>
  <dcterms:modified xmlns:dcterms="http://purl.org/dc/terms/" xmlns:xsi="http://www.w3.org/2001/XMLSchema-instance" xsi:type="dcterms:W3CDTF">2026-05-13T17:41:08Z</dcterms:modified>
</cp:coreProperties>
</file>