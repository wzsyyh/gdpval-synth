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1 2026 Variances" sheetId="2" state="visible" r:id="rId2"/>
    <sheet xmlns:r="http://schemas.openxmlformats.org/officeDocument/2006/relationships" name="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Bank of America Corp (BAC) - Financial Data Input</t>
        </is>
      </c>
    </row>
    <row r="3">
      <c r="A3" s="1" t="inlineStr">
        <is>
          <t>Metric</t>
        </is>
      </c>
      <c r="B3" s="1" t="inlineStr">
        <is>
          <t>Q1 2026</t>
        </is>
      </c>
      <c r="C3" s="1" t="inlineStr">
        <is>
          <t>FY 2025</t>
        </is>
      </c>
      <c r="D3" s="1" t="inlineStr">
        <is>
          <t>Q3 2025 YTD</t>
        </is>
      </c>
      <c r="E3" s="1" t="inlineStr">
        <is>
          <t>Q3 2025 Qtr</t>
        </is>
      </c>
      <c r="F3" s="1" t="inlineStr">
        <is>
          <t>Q2 2025</t>
        </is>
      </c>
      <c r="G3" s="1" t="inlineStr">
        <is>
          <t>Derived Q4 2025</t>
        </is>
      </c>
    </row>
    <row r="4">
      <c r="A4" s="2" t="inlineStr">
        <is>
          <t>Revenue</t>
        </is>
      </c>
      <c r="B4" s="3" t="n">
        <v>30272000000</v>
      </c>
      <c r="C4" s="3" t="n">
        <v>113097000000</v>
      </c>
      <c r="D4" s="3" t="n">
        <v>81917000000</v>
      </c>
      <c r="E4" s="3" t="n">
        <v>28088000000</v>
      </c>
      <c r="F4" s="3" t="n">
        <v>53829000000</v>
      </c>
      <c r="G4" s="3">
        <f>C4-D4</f>
        <v/>
      </c>
    </row>
    <row r="5">
      <c r="A5" s="2" t="inlineStr">
        <is>
          <t>Net Income</t>
        </is>
      </c>
      <c r="B5" s="3" t="n">
        <v>8584000000</v>
      </c>
      <c r="C5" s="3" t="n">
        <v>30509000000</v>
      </c>
      <c r="D5" s="3" t="n">
        <v>22981000000</v>
      </c>
      <c r="E5" s="3" t="n">
        <v>8469000000</v>
      </c>
      <c r="F5" s="3" t="n">
        <v>14512000000</v>
      </c>
      <c r="G5" s="3">
        <f>C5-D5</f>
        <v/>
      </c>
    </row>
    <row r="6">
      <c r="A6" s="2" t="inlineStr">
        <is>
          <t>Total Assets</t>
        </is>
      </c>
      <c r="B6" s="3" t="n">
        <v>3496186000000</v>
      </c>
      <c r="C6" s="3" t="n">
        <v>3411738000000</v>
      </c>
      <c r="D6" s="3" t="n">
        <v>3403716000000</v>
      </c>
      <c r="F6" s="3" t="n">
        <v>3441142000000</v>
      </c>
      <c r="G6" s="3">
        <f>C6-D6</f>
        <v/>
      </c>
    </row>
    <row r="7">
      <c r="A7" s="2" t="inlineStr">
        <is>
          <t>Total Liabilities</t>
        </is>
      </c>
      <c r="B7" s="3" t="n">
        <v>3195518000000</v>
      </c>
      <c r="C7" s="3" t="n">
        <v>3108495000000</v>
      </c>
      <c r="D7" s="3" t="n">
        <v>3099564000000</v>
      </c>
      <c r="F7" s="3" t="n">
        <v>3141543000000</v>
      </c>
      <c r="G7" s="3">
        <f>C7-D7</f>
        <v/>
      </c>
    </row>
    <row r="8">
      <c r="A8" s="2" t="inlineStr">
        <is>
          <t>Stockholders Equity</t>
        </is>
      </c>
      <c r="B8" s="3" t="n">
        <v>300668000000</v>
      </c>
      <c r="C8" s="3" t="n">
        <v>303243000000</v>
      </c>
      <c r="D8" s="3" t="n">
        <v>304152000000</v>
      </c>
      <c r="F8" s="3" t="n">
        <v>299599000000</v>
      </c>
      <c r="G8" s="3">
        <f>C8-D8</f>
        <v/>
      </c>
    </row>
    <row r="9">
      <c r="A9" s="2" t="inlineStr">
        <is>
          <t>Diluted EPS</t>
        </is>
      </c>
      <c r="B9" s="4" t="n">
        <v>1.11</v>
      </c>
      <c r="C9" s="4" t="n">
        <v>3.81</v>
      </c>
      <c r="D9" s="4" t="n">
        <v>2.85</v>
      </c>
      <c r="E9" s="4" t="n">
        <v>1.06</v>
      </c>
      <c r="F9" s="4" t="n">
        <v>1.79</v>
      </c>
      <c r="G9" s="4">
        <f>C9-D9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20" customWidth="1" min="4" max="4"/>
    <col width="15" customWidth="1" min="5" max="5"/>
  </cols>
  <sheetData>
    <row r="1">
      <c r="A1" s="1" t="inlineStr">
        <is>
          <t>Q1 2026 vs Derived Q4 2025 - Variance Analysis</t>
        </is>
      </c>
    </row>
    <row r="3">
      <c r="A3" s="1" t="inlineStr">
        <is>
          <t>Metric</t>
        </is>
      </c>
      <c r="B3" s="1" t="inlineStr">
        <is>
          <t>Q1 2026</t>
        </is>
      </c>
      <c r="C3" s="1" t="inlineStr">
        <is>
          <t>Derived Q4 2025</t>
        </is>
      </c>
      <c r="D3" s="1" t="inlineStr">
        <is>
          <t>Absolute Variance</t>
        </is>
      </c>
      <c r="E3" s="1" t="inlineStr">
        <is>
          <t>% Variance</t>
        </is>
      </c>
    </row>
    <row r="4">
      <c r="A4" s="2" t="inlineStr">
        <is>
          <t>Revenue</t>
        </is>
      </c>
      <c r="B4" s="3">
        <f>Inputs!B4</f>
        <v/>
      </c>
      <c r="C4" s="3">
        <f>Inputs!G4</f>
        <v/>
      </c>
      <c r="D4" s="3">
        <f>B4-C4</f>
        <v/>
      </c>
      <c r="E4" s="5">
        <f>D4/C4</f>
        <v/>
      </c>
    </row>
    <row r="5">
      <c r="A5" s="2" t="inlineStr">
        <is>
          <t>Net Income</t>
        </is>
      </c>
      <c r="B5" s="3">
        <f>Inputs!B5</f>
        <v/>
      </c>
      <c r="C5" s="3">
        <f>Inputs!G5</f>
        <v/>
      </c>
      <c r="D5" s="3">
        <f>B5-C5</f>
        <v/>
      </c>
      <c r="E5" s="5">
        <f>D5/C5</f>
        <v/>
      </c>
    </row>
    <row r="6">
      <c r="A6" s="2" t="inlineStr">
        <is>
          <t>Total Assets</t>
        </is>
      </c>
      <c r="B6" s="3">
        <f>Inputs!B6</f>
        <v/>
      </c>
      <c r="C6" s="3">
        <f>Inputs!G6</f>
        <v/>
      </c>
      <c r="D6" s="3">
        <f>B6-C6</f>
        <v/>
      </c>
      <c r="E6" s="5">
        <f>D6/C6</f>
        <v/>
      </c>
    </row>
    <row r="7">
      <c r="A7" s="2" t="inlineStr">
        <is>
          <t>Total Liabilities</t>
        </is>
      </c>
      <c r="B7" s="3">
        <f>Inputs!B7</f>
        <v/>
      </c>
      <c r="C7" s="3">
        <f>Inputs!G7</f>
        <v/>
      </c>
      <c r="D7" s="3">
        <f>B7-C7</f>
        <v/>
      </c>
      <c r="E7" s="5">
        <f>D7/C7</f>
        <v/>
      </c>
    </row>
    <row r="8">
      <c r="A8" s="2" t="inlineStr">
        <is>
          <t>Stockholders Equity</t>
        </is>
      </c>
      <c r="B8" s="3">
        <f>Inputs!B8</f>
        <v/>
      </c>
      <c r="C8" s="3">
        <f>Inputs!G8</f>
        <v/>
      </c>
      <c r="D8" s="3">
        <f>B8-C8</f>
        <v/>
      </c>
      <c r="E8" s="5">
        <f>D8/C8</f>
        <v/>
      </c>
    </row>
    <row r="9">
      <c r="A9" s="2" t="inlineStr">
        <is>
          <t>Diluted EPS</t>
        </is>
      </c>
      <c r="B9" s="4">
        <f>Inputs!B9</f>
        <v/>
      </c>
      <c r="C9" s="4">
        <f>Inputs!G9</f>
        <v/>
      </c>
      <c r="D9" s="4">
        <f>B9-C9</f>
        <v/>
      </c>
      <c r="E9" s="5">
        <f>D9/C9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</cols>
  <sheetData>
    <row r="1">
      <c r="A1" s="1" t="inlineStr">
        <is>
          <t>Q1 2026 DuPont Analysis - Bank of America</t>
        </is>
      </c>
    </row>
    <row r="3">
      <c r="A3" s="1" t="inlineStr">
        <is>
          <t>Ratio</t>
        </is>
      </c>
      <c r="B3" s="1" t="inlineStr">
        <is>
          <t>Formula</t>
        </is>
      </c>
      <c r="C3" s="1" t="inlineStr">
        <is>
          <t>Value</t>
        </is>
      </c>
    </row>
    <row r="4">
      <c r="A4" s="2" t="inlineStr">
        <is>
          <t>Net Profit Margin</t>
        </is>
      </c>
      <c r="B4" t="inlineStr">
        <is>
          <t>Net Income / Revenue</t>
        </is>
      </c>
      <c r="C4" s="5">
        <f>Inputs!B5/Inputs!B4</f>
        <v/>
      </c>
    </row>
    <row r="5">
      <c r="A5" s="2" t="inlineStr">
        <is>
          <t>Asset Turnover</t>
        </is>
      </c>
      <c r="B5" t="inlineStr">
        <is>
          <t>Revenue / Total Assets</t>
        </is>
      </c>
      <c r="C5" s="6">
        <f>Inputs!B4/Inputs!B6</f>
        <v/>
      </c>
    </row>
    <row r="6">
      <c r="A6" s="2" t="inlineStr">
        <is>
          <t>Equity Multiplier</t>
        </is>
      </c>
      <c r="B6" t="inlineStr">
        <is>
          <t>Total Assets / Stockholders Equity</t>
        </is>
      </c>
      <c r="C6" s="6">
        <f>Inputs!B6/Inputs!B8</f>
        <v/>
      </c>
    </row>
    <row r="7">
      <c r="A7" s="2" t="inlineStr">
        <is>
          <t>Return on Equity (DuPont)</t>
        </is>
      </c>
      <c r="B7" t="inlineStr">
        <is>
          <t>Margin x Turnover x Multiplier</t>
        </is>
      </c>
      <c r="C7" s="5">
        <f>C4*C5*C6</f>
        <v/>
      </c>
    </row>
    <row r="9">
      <c r="A9" s="1" t="inlineStr">
        <is>
          <t>Verification</t>
        </is>
      </c>
    </row>
    <row r="10">
      <c r="A10" t="inlineStr">
        <is>
          <t>Direct ROE</t>
        </is>
      </c>
      <c r="B10" t="inlineStr">
        <is>
          <t>Net Income / Equity</t>
        </is>
      </c>
      <c r="C10" s="5">
        <f>Inputs!B5/Inputs!B8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2026-05-13T19:09:21Z</dcterms:created>
  <dcterms:modified xmlns:dcterms="http://purl.org/dc/terms/" xmlns:xsi="http://www.w3.org/2001/XMLSchema-instance" xsi:type="dcterms:W3CDTF">2026-05-13T19:09:21Z</dcterms:modified>
</cp:coreProperties>
</file>