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QoQ Variance" sheetId="2" state="visible" r:id="rId2"/>
    <sheet xmlns:r="http://schemas.openxmlformats.org/officeDocument/2006/relationships" name="YoY Variance" sheetId="3" state="visible" r:id="rId3"/>
    <sheet xmlns:r="http://schemas.openxmlformats.org/officeDocument/2006/relationships" name="Margin Analysis" sheetId="4" state="visible" r:id="rId4"/>
    <sheet xmlns:r="http://schemas.openxmlformats.org/officeDocument/2006/relationships"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3">
    <font>
      <name val="Calibri"/>
      <family val="2"/>
      <color theme="1"/>
      <sz val="11"/>
      <scheme val="minor"/>
    </font>
    <font>
      <name val="Calibri"/>
      <b val="1"/>
      <color rgb="00000000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Tesla, Inc. (TSLA) - Financial Data</t>
        </is>
      </c>
    </row>
    <row r="2">
      <c r="A2" t="inlineStr">
        <is>
          <t>CIK: 0001318605 | Sector: Auto</t>
        </is>
      </c>
    </row>
    <row r="3">
      <c r="A3" t="inlineStr">
        <is>
          <t>All figures in USD millions unless otherwise noted</t>
        </is>
      </c>
    </row>
    <row r="5">
      <c r="A5" s="2" t="inlineStr">
        <is>
          <t>Line Item</t>
        </is>
      </c>
      <c r="B5" s="2" t="inlineStr">
        <is>
          <t>Q2 2025</t>
        </is>
      </c>
      <c r="C5" s="2" t="inlineStr">
        <is>
          <t>Q3 2025</t>
        </is>
      </c>
      <c r="D5" s="2" t="inlineStr">
        <is>
          <t>FY 2025</t>
        </is>
      </c>
      <c r="E5" s="2" t="inlineStr">
        <is>
          <t>Q1 2026</t>
        </is>
      </c>
    </row>
    <row r="7">
      <c r="A7" s="1" t="inlineStr">
        <is>
          <t>Income Statement</t>
        </is>
      </c>
    </row>
    <row r="8">
      <c r="A8" t="inlineStr">
        <is>
          <t>Revenue</t>
        </is>
      </c>
      <c r="B8" s="3" t="n">
        <v>41831</v>
      </c>
      <c r="C8" s="3" t="n">
        <v>28095</v>
      </c>
      <c r="D8" s="3" t="n">
        <v>94827</v>
      </c>
      <c r="E8" s="3" t="n">
        <v>22387</v>
      </c>
    </row>
    <row r="9">
      <c r="A9" t="inlineStr">
        <is>
          <t>Gross Profit</t>
        </is>
      </c>
      <c r="B9" s="3" t="n">
        <v>7031</v>
      </c>
      <c r="C9" s="3" t="n">
        <v>5054</v>
      </c>
      <c r="D9" s="3" t="n">
        <v>17094</v>
      </c>
      <c r="E9" s="3" t="n">
        <v>4720</v>
      </c>
    </row>
    <row r="10">
      <c r="A10" t="inlineStr">
        <is>
          <t>Operating Income</t>
        </is>
      </c>
      <c r="B10" s="3" t="n">
        <v>1322</v>
      </c>
      <c r="C10" s="3" t="n">
        <v>1624</v>
      </c>
      <c r="D10" s="3" t="n">
        <v>4355</v>
      </c>
      <c r="E10" s="3" t="n">
        <v>941</v>
      </c>
    </row>
    <row r="11">
      <c r="A11" t="inlineStr">
        <is>
          <t>Net Income</t>
        </is>
      </c>
      <c r="B11" s="3" t="n">
        <v>1581</v>
      </c>
      <c r="C11" s="3" t="n">
        <v>1373</v>
      </c>
      <c r="D11" s="3" t="n">
        <v>3794</v>
      </c>
      <c r="E11" s="3" t="n">
        <v>477</v>
      </c>
    </row>
    <row r="12">
      <c r="A12" t="inlineStr">
        <is>
          <t>EPS (Diluted)</t>
        </is>
      </c>
      <c r="B12" s="4" t="n">
        <v>0.45</v>
      </c>
      <c r="C12" s="4" t="n">
        <v>0.39</v>
      </c>
      <c r="D12" s="4" t="n">
        <v>1.08</v>
      </c>
      <c r="E12" s="4" t="n">
        <v>0.13</v>
      </c>
    </row>
    <row r="13">
      <c r="A13" t="inlineStr">
        <is>
          <t>R&amp;D Expense</t>
        </is>
      </c>
      <c r="B13" s="3" t="n">
        <v>2998</v>
      </c>
      <c r="C13" s="3" t="n">
        <v>1630</v>
      </c>
      <c r="D13" s="3" t="n">
        <v>6411</v>
      </c>
      <c r="E13" s="3" t="n">
        <v>1946</v>
      </c>
    </row>
    <row r="14">
      <c r="A14" t="inlineStr">
        <is>
          <t>SG&amp;A Expense</t>
        </is>
      </c>
      <c r="B14" s="3" t="n">
        <v>2617</v>
      </c>
      <c r="C14" s="3" t="n">
        <v>1562</v>
      </c>
      <c r="D14" s="3" t="n">
        <v>5834</v>
      </c>
      <c r="E14" s="3" t="n">
        <v>1833</v>
      </c>
    </row>
    <row r="16">
      <c r="A16" s="1" t="inlineStr">
        <is>
          <t>Balance Sheet</t>
        </is>
      </c>
    </row>
    <row r="17">
      <c r="A17" t="inlineStr">
        <is>
          <t>Total Assets</t>
        </is>
      </c>
      <c r="B17" s="3" t="n">
        <v>128567</v>
      </c>
      <c r="C17" s="3" t="n">
        <v>133735</v>
      </c>
      <c r="D17" s="3" t="n">
        <v>137806</v>
      </c>
      <c r="E17" s="3" t="n">
        <v>143724</v>
      </c>
    </row>
    <row r="18">
      <c r="A18" t="inlineStr">
        <is>
          <t>Liabilities</t>
        </is>
      </c>
      <c r="B18" s="3" t="n">
        <v>50495</v>
      </c>
      <c r="C18" s="3" t="n">
        <v>53019</v>
      </c>
      <c r="D18" s="3" t="n">
        <v>54941</v>
      </c>
      <c r="E18" s="3" t="n">
        <v>58922</v>
      </c>
    </row>
    <row r="19">
      <c r="A19" t="inlineStr">
        <is>
          <t>Stockholders Equity</t>
        </is>
      </c>
      <c r="B19" s="3" t="n">
        <v>77314</v>
      </c>
      <c r="C19" s="3" t="n">
        <v>79970</v>
      </c>
      <c r="D19" s="3" t="n">
        <v>82137</v>
      </c>
      <c r="E19" s="3" t="n">
        <v>84116</v>
      </c>
    </row>
    <row r="20">
      <c r="A20" t="inlineStr">
        <is>
          <t>Cash and Cash Equivalents</t>
        </is>
      </c>
      <c r="B20" s="3" t="n">
        <v>15587</v>
      </c>
      <c r="C20" s="3" t="n">
        <v>18289</v>
      </c>
      <c r="D20" s="3" t="n">
        <v>16513</v>
      </c>
      <c r="E20" s="3" t="n">
        <v>16603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Quarter-over-Quarter Variance: Q3 2025 to Q1 2026</t>
        </is>
      </c>
    </row>
    <row r="3">
      <c r="A3" s="2" t="inlineStr">
        <is>
          <t>Line Item</t>
        </is>
      </c>
      <c r="B3" s="2" t="inlineStr">
        <is>
          <t>Q3 2025</t>
        </is>
      </c>
      <c r="C3" s="2" t="inlineStr">
        <is>
          <t>Q1 2026</t>
        </is>
      </c>
      <c r="D3" s="2" t="inlineStr">
        <is>
          <t>Change ($M)</t>
        </is>
      </c>
      <c r="E3" s="2" t="inlineStr">
        <is>
          <t>Change (%)</t>
        </is>
      </c>
    </row>
    <row r="5">
      <c r="A5" t="inlineStr">
        <is>
          <t>Revenue</t>
        </is>
      </c>
      <c r="B5">
        <f>Inputs!C8</f>
        <v/>
      </c>
      <c r="C5">
        <f>Inputs!E8</f>
        <v/>
      </c>
      <c r="D5">
        <f>C5-B5</f>
        <v/>
      </c>
      <c r="E5" s="5">
        <f>(C5-B5)/B5</f>
        <v/>
      </c>
    </row>
    <row r="6">
      <c r="A6" t="inlineStr">
        <is>
          <t>Gross Profit</t>
        </is>
      </c>
      <c r="B6">
        <f>Inputs!C9</f>
        <v/>
      </c>
      <c r="C6">
        <f>Inputs!E9</f>
        <v/>
      </c>
      <c r="D6">
        <f>C6-B6</f>
        <v/>
      </c>
      <c r="E6" s="5">
        <f>(C6-B6)/B6</f>
        <v/>
      </c>
    </row>
    <row r="7">
      <c r="A7" t="inlineStr">
        <is>
          <t>Operating Income</t>
        </is>
      </c>
      <c r="B7">
        <f>Inputs!C10</f>
        <v/>
      </c>
      <c r="C7">
        <f>Inputs!E10</f>
        <v/>
      </c>
      <c r="D7">
        <f>C7-B7</f>
        <v/>
      </c>
      <c r="E7" s="5">
        <f>(C7-B7)/B7</f>
        <v/>
      </c>
    </row>
    <row r="8">
      <c r="A8" t="inlineStr">
        <is>
          <t>Net Income</t>
        </is>
      </c>
      <c r="B8">
        <f>Inputs!C11</f>
        <v/>
      </c>
      <c r="C8">
        <f>Inputs!E11</f>
        <v/>
      </c>
      <c r="D8">
        <f>C8-B8</f>
        <v/>
      </c>
      <c r="E8" s="5">
        <f>(C8-B8)/B8</f>
        <v/>
      </c>
    </row>
    <row r="9">
      <c r="A9" t="inlineStr">
        <is>
          <t>EPS (Diluted)</t>
        </is>
      </c>
      <c r="B9">
        <f>Inputs!C12</f>
        <v/>
      </c>
      <c r="C9">
        <f>Inputs!E12</f>
        <v/>
      </c>
      <c r="D9">
        <f>C9-B9</f>
        <v/>
      </c>
      <c r="E9" s="5">
        <f>(C9-B9)/B9</f>
        <v/>
      </c>
    </row>
    <row r="10">
      <c r="A10" t="inlineStr">
        <is>
          <t>R&amp;D Expense</t>
        </is>
      </c>
      <c r="B10">
        <f>Inputs!C13</f>
        <v/>
      </c>
      <c r="C10">
        <f>Inputs!E13</f>
        <v/>
      </c>
      <c r="D10">
        <f>C10-B10</f>
        <v/>
      </c>
      <c r="E10" s="5">
        <f>(C10-B10)/B10</f>
        <v/>
      </c>
    </row>
    <row r="11">
      <c r="A11" t="inlineStr">
        <is>
          <t>SG&amp;A Expense</t>
        </is>
      </c>
      <c r="B11">
        <f>Inputs!C14</f>
        <v/>
      </c>
      <c r="C11">
        <f>Inputs!E14</f>
        <v/>
      </c>
      <c r="D11">
        <f>C11-B11</f>
        <v/>
      </c>
      <c r="E11" s="5">
        <f>(C11-B11)/B11</f>
        <v/>
      </c>
    </row>
    <row r="13">
      <c r="A13" t="inlineStr">
        <is>
          <t>Total Assets</t>
        </is>
      </c>
      <c r="B13">
        <f>Inputs!C17</f>
        <v/>
      </c>
      <c r="C13">
        <f>Inputs!E17</f>
        <v/>
      </c>
      <c r="D13">
        <f>C13-B13</f>
        <v/>
      </c>
      <c r="E13" s="5">
        <f>(C13-B13)/B13</f>
        <v/>
      </c>
    </row>
    <row r="14">
      <c r="A14" t="inlineStr">
        <is>
          <t>Liabilities</t>
        </is>
      </c>
      <c r="B14">
        <f>Inputs!C18</f>
        <v/>
      </c>
      <c r="C14">
        <f>Inputs!E18</f>
        <v/>
      </c>
      <c r="D14">
        <f>C14-B14</f>
        <v/>
      </c>
      <c r="E14" s="5">
        <f>(C14-B14)/B14</f>
        <v/>
      </c>
    </row>
    <row r="15">
      <c r="A15" t="inlineStr">
        <is>
          <t>Stockholders Equity</t>
        </is>
      </c>
      <c r="B15">
        <f>Inputs!C19</f>
        <v/>
      </c>
      <c r="C15">
        <f>Inputs!E19</f>
        <v/>
      </c>
      <c r="D15">
        <f>C15-B15</f>
        <v/>
      </c>
      <c r="E15" s="5">
        <f>(C15-B15)/B15</f>
        <v/>
      </c>
    </row>
    <row r="16">
      <c r="A16" t="inlineStr">
        <is>
          <t>Cash</t>
        </is>
      </c>
      <c r="B16">
        <f>Inputs!C20</f>
        <v/>
      </c>
      <c r="C16">
        <f>Inputs!E20</f>
        <v/>
      </c>
      <c r="D16">
        <f>C16-B16</f>
        <v/>
      </c>
      <c r="E16" s="5">
        <f>(C16-B16)/B16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Year-over-Year Variance: Annualized Q1 2026 vs FY 2025</t>
        </is>
      </c>
    </row>
    <row r="3">
      <c r="A3" s="2" t="inlineStr">
        <is>
          <t>Line Item</t>
        </is>
      </c>
      <c r="B3" s="2" t="inlineStr">
        <is>
          <t>Ann. Q1 2026</t>
        </is>
      </c>
      <c r="C3" s="2" t="inlineStr">
        <is>
          <t>FY 2025</t>
        </is>
      </c>
      <c r="D3" s="2" t="inlineStr">
        <is>
          <t>Change ($M)</t>
        </is>
      </c>
      <c r="E3" s="2" t="inlineStr">
        <is>
          <t>Change (%)</t>
        </is>
      </c>
    </row>
    <row r="5">
      <c r="A5" t="inlineStr">
        <is>
          <t>Revenue</t>
        </is>
      </c>
      <c r="B5">
        <f>Inputs!E8*4</f>
        <v/>
      </c>
      <c r="C5">
        <f>Inputs!D8</f>
        <v/>
      </c>
      <c r="D5">
        <f>B5-C5</f>
        <v/>
      </c>
      <c r="E5" s="5">
        <f>(B5-C5)/C5</f>
        <v/>
      </c>
    </row>
    <row r="6">
      <c r="A6" t="inlineStr">
        <is>
          <t>Gross Profit</t>
        </is>
      </c>
      <c r="B6">
        <f>Inputs!E9*4</f>
        <v/>
      </c>
      <c r="C6">
        <f>Inputs!D9</f>
        <v/>
      </c>
      <c r="D6">
        <f>B6-C6</f>
        <v/>
      </c>
      <c r="E6" s="5">
        <f>(B6-C6)/C6</f>
        <v/>
      </c>
    </row>
    <row r="7">
      <c r="A7" t="inlineStr">
        <is>
          <t>Operating Income</t>
        </is>
      </c>
      <c r="B7">
        <f>Inputs!E10*4</f>
        <v/>
      </c>
      <c r="C7">
        <f>Inputs!D10</f>
        <v/>
      </c>
      <c r="D7">
        <f>B7-C7</f>
        <v/>
      </c>
      <c r="E7" s="5">
        <f>(B7-C7)/C7</f>
        <v/>
      </c>
    </row>
    <row r="8">
      <c r="A8" t="inlineStr">
        <is>
          <t>Net Income</t>
        </is>
      </c>
      <c r="B8">
        <f>Inputs!E11*4</f>
        <v/>
      </c>
      <c r="C8">
        <f>Inputs!D11</f>
        <v/>
      </c>
      <c r="D8">
        <f>B8-C8</f>
        <v/>
      </c>
      <c r="E8" s="5">
        <f>(B8-C8)/C8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Margin Analysis</t>
        </is>
      </c>
    </row>
    <row r="3">
      <c r="A3" s="2" t="inlineStr">
        <is>
          <t>Margin Metric</t>
        </is>
      </c>
      <c r="B3" s="2" t="inlineStr">
        <is>
          <t>Q2 2025</t>
        </is>
      </c>
      <c r="C3" s="2" t="inlineStr">
        <is>
          <t>Q3 2025</t>
        </is>
      </c>
      <c r="D3" s="2" t="inlineStr">
        <is>
          <t>Q1 2026</t>
        </is>
      </c>
      <c r="E3" s="2" t="inlineStr">
        <is>
          <t>Change Q3-Q1</t>
        </is>
      </c>
    </row>
    <row r="5">
      <c r="A5" t="inlineStr">
        <is>
          <t>Gross Margin</t>
        </is>
      </c>
      <c r="B5" s="6">
        <f>Inputs!B9/Inputs!B8*100</f>
        <v/>
      </c>
      <c r="C5" s="6">
        <f>Inputs!C9/Inputs!C8*100</f>
        <v/>
      </c>
      <c r="D5" s="6">
        <f>Inputs!E9/Inputs!E8*100</f>
        <v/>
      </c>
      <c r="E5" s="6">
        <f>D5-C5</f>
        <v/>
      </c>
    </row>
    <row r="6">
      <c r="A6" t="inlineStr">
        <is>
          <t>Operating Margin</t>
        </is>
      </c>
      <c r="B6" s="6">
        <f>Inputs!B10/Inputs!B8*100</f>
        <v/>
      </c>
      <c r="C6" s="6">
        <f>Inputs!C10/Inputs!C8*100</f>
        <v/>
      </c>
      <c r="D6" s="6">
        <f>Inputs!E10/Inputs!E8*100</f>
        <v/>
      </c>
      <c r="E6" s="6">
        <f>D6-C6</f>
        <v/>
      </c>
    </row>
    <row r="7">
      <c r="A7" t="inlineStr">
        <is>
          <t>Net Margin</t>
        </is>
      </c>
      <c r="B7" s="6">
        <f>Inputs!B11/Inputs!B8*100</f>
        <v/>
      </c>
      <c r="C7" s="6">
        <f>Inputs!C11/Inputs!C8*100</f>
        <v/>
      </c>
      <c r="D7" s="6">
        <f>Inputs!E11/Inputs!E8*100</f>
        <v/>
      </c>
      <c r="E7" s="6">
        <f>D7-C7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Management Commentary - Key Trends</t>
        </is>
      </c>
    </row>
    <row r="3">
      <c r="A3" t="inlineStr">
        <is>
          <t>1. Revenue declined from $28,095M in Q3 2025 to $22,387M in Q1 2026, a QoQ decrease of approximately 20.3%, reflecting continued demand softness.</t>
        </is>
      </c>
    </row>
    <row r="4">
      <c r="A4" t="inlineStr">
        <is>
          <t>2. Operating income fell sharply from $1,624M to $941M QoQ, a 42.0% decline, with operating margin compressing from 5.8% to 4.2%.</t>
        </is>
      </c>
    </row>
    <row r="5">
      <c r="A5" t="inlineStr">
        <is>
          <t>3. Gross margin improved modestly from 18.0% in Q3 2025 to 21.1% in Q1 2026, suggesting better cost management despite lower volumes.</t>
        </is>
      </c>
    </row>
    <row r="6">
      <c r="A6" t="inlineStr">
        <is>
          <t>4. On an annualized basis, Q1 2026 revenue of $89,548M falls short of FY 2025 revenue of $94,827M by $5,279M, indicating a potential full-year decline of 5.6%.</t>
        </is>
      </c>
    </row>
    <row r="7">
      <c r="A7" t="inlineStr">
        <is>
          <t>5. R&amp;D spend increased QoQ from $1,630M to $1,946M (+19.4%), while SG&amp;A rose from $1,562M to $1,833M (+17.4%), reflecting continued investment in growth initiatives.</t>
        </is>
      </c>
    </row>
    <row r="8">
      <c r="A8" t="inlineStr">
        <is>
          <t>6. Cash position remained stable at $16,603M versus $18,289M in Q3 2025, a decrease of $1,686M or 9.2%.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2026-05-13T18:39:34Z</dcterms:created>
  <dcterms:modified xmlns:dcterms="http://purl.org/dc/terms/" xmlns:xsi="http://www.w3.org/2001/XMLSchema-instance" xsi:type="dcterms:W3CDTF">2026-05-13T18:39:34Z</dcterms:modified>
</cp:coreProperties>
</file>