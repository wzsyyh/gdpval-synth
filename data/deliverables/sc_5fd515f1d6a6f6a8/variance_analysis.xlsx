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EPS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NIKE, Inc. (NKE) - Raw XBRL Financial Data</t>
        </is>
      </c>
    </row>
    <row r="2">
      <c r="A2" s="2" t="inlineStr">
        <is>
          <t>All figures in USD</t>
        </is>
      </c>
    </row>
    <row r="4">
      <c r="A4" s="1" t="inlineStr">
        <is>
          <t>Line Item</t>
        </is>
      </c>
      <c r="B4" s="3" t="inlineStr">
        <is>
          <t>Q1 FY2026</t>
        </is>
      </c>
      <c r="C4" s="3" t="inlineStr">
        <is>
          <t>Q2 FY2026</t>
        </is>
      </c>
      <c r="D4" s="3" t="inlineStr">
        <is>
          <t>Q3 FY2026</t>
        </is>
      </c>
      <c r="E4" s="3" t="inlineStr">
        <is>
          <t>9M Cumulative</t>
        </is>
      </c>
    </row>
    <row r="5">
      <c r="A5" s="4" t="inlineStr">
        <is>
          <t>Revenue</t>
        </is>
      </c>
      <c r="B5" s="5" t="n">
        <v>11720000000</v>
      </c>
      <c r="C5" s="5" t="n">
        <v>12427000000</v>
      </c>
      <c r="D5" s="5" t="n">
        <v>11279000000</v>
      </c>
      <c r="E5" s="5">
        <f>B5+C5+D5</f>
        <v/>
      </c>
    </row>
    <row r="6">
      <c r="A6" s="4" t="inlineStr">
        <is>
          <t>Cost of Goods Sold</t>
        </is>
      </c>
      <c r="B6" s="5" t="n">
        <v>6777000000</v>
      </c>
      <c r="C6" s="5" t="n">
        <v>7382000000</v>
      </c>
      <c r="D6" s="5" t="n">
        <v>6749000000</v>
      </c>
      <c r="E6" s="5">
        <f>B6+C6+D6</f>
        <v/>
      </c>
    </row>
    <row r="7">
      <c r="A7" s="4" t="inlineStr">
        <is>
          <t>Gross Profit</t>
        </is>
      </c>
      <c r="B7" s="5" t="n">
        <v>4943000000</v>
      </c>
      <c r="C7" s="5" t="n">
        <v>5045000000</v>
      </c>
      <c r="D7" s="5" t="n">
        <v>4530000000</v>
      </c>
      <c r="E7" s="5">
        <f>B7+C7+D7</f>
        <v/>
      </c>
    </row>
    <row r="8">
      <c r="A8" s="4" t="inlineStr">
        <is>
          <t>SG&amp;A Expense</t>
        </is>
      </c>
      <c r="B8" s="5" t="n">
        <v>4016000000</v>
      </c>
      <c r="C8" s="5" t="n">
        <v>4039000000</v>
      </c>
      <c r="D8" s="5" t="n">
        <v>3977000000</v>
      </c>
      <c r="E8" s="5">
        <f>B8+C8+D8</f>
        <v/>
      </c>
    </row>
    <row r="9">
      <c r="A9" s="4" t="inlineStr">
        <is>
          <t>Net Income</t>
        </is>
      </c>
      <c r="B9" s="5" t="n">
        <v>727000000</v>
      </c>
      <c r="C9" s="5" t="n">
        <v>792000000</v>
      </c>
      <c r="D9" s="5" t="n">
        <v>520000000</v>
      </c>
      <c r="E9" s="5">
        <f>B9+C9+D9</f>
        <v/>
      </c>
    </row>
    <row r="10">
      <c r="A10" s="4" t="inlineStr">
        <is>
          <t>Diluted EPS</t>
        </is>
      </c>
      <c r="B10" s="6" t="n">
        <v>0.49</v>
      </c>
      <c r="C10" s="6" t="n">
        <v>0.53</v>
      </c>
      <c r="D10" s="6" t="n">
        <v>0.35</v>
      </c>
      <c r="E10" s="6" t="n">
        <v>1.38</v>
      </c>
    </row>
    <row r="12">
      <c r="A12" s="1" t="inlineStr">
        <is>
          <t>Balance Sheet Data</t>
        </is>
      </c>
    </row>
    <row r="13">
      <c r="A13" s="4" t="inlineStr">
        <is>
          <t>Total Assets</t>
        </is>
      </c>
      <c r="B13" s="5" t="n">
        <v>37334000000</v>
      </c>
      <c r="C13" s="5" t="n">
        <v>37787000000</v>
      </c>
      <c r="D13" s="5" t="n">
        <v>37064000000</v>
      </c>
      <c r="E13" s="5" t="n">
        <v>36579000000</v>
      </c>
    </row>
    <row r="14">
      <c r="A14" s="4" t="inlineStr">
        <is>
          <t>Stockholders' Equity</t>
        </is>
      </c>
      <c r="B14" s="5" t="n">
        <v>13468000000</v>
      </c>
      <c r="C14" s="5" t="n">
        <v>14085000000</v>
      </c>
      <c r="D14" s="5" t="n">
        <v>14090000000</v>
      </c>
    </row>
    <row r="15">
      <c r="A15" s="4" t="inlineStr">
        <is>
          <t>Cash &amp; Cash Equivalents</t>
        </is>
      </c>
      <c r="B15" s="5" t="n">
        <v>7024000000</v>
      </c>
      <c r="C15" s="5" t="n">
        <v>6974000000</v>
      </c>
      <c r="D15" s="5" t="n">
        <v>6660000000</v>
      </c>
      <c r="E15" s="5" t="n">
        <v>7464000000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NIKE, Inc. - Quarterly Income Statement Variance Analysis</t>
        </is>
      </c>
    </row>
    <row r="2">
      <c r="A2" s="2" t="inlineStr">
        <is>
          <t>All figures in USD millions unless otherwise noted</t>
        </is>
      </c>
    </row>
    <row r="4">
      <c r="A4" s="1" t="inlineStr">
        <is>
          <t>Line Item</t>
        </is>
      </c>
      <c r="B4" s="3" t="inlineStr">
        <is>
          <t>Q1 FY2026</t>
        </is>
      </c>
      <c r="C4" s="3" t="inlineStr">
        <is>
          <t>Q2 FY2026</t>
        </is>
      </c>
      <c r="D4" s="3" t="inlineStr">
        <is>
          <t>QoQ $ Chg</t>
        </is>
      </c>
      <c r="E4" s="3" t="inlineStr">
        <is>
          <t>QoQ % Chg</t>
        </is>
      </c>
      <c r="F4" s="3" t="inlineStr">
        <is>
          <t>Q3 FY2026</t>
        </is>
      </c>
      <c r="G4" s="3" t="inlineStr">
        <is>
          <t>QoQ $ Chg</t>
        </is>
      </c>
      <c r="H4" s="3" t="inlineStr">
        <is>
          <t>QoQ % Chg</t>
        </is>
      </c>
      <c r="I4" s="3" t="inlineStr">
        <is>
          <t>9M Total</t>
        </is>
      </c>
    </row>
    <row r="5">
      <c r="A5" s="7" t="inlineStr">
        <is>
          <t>Revenue</t>
        </is>
      </c>
      <c r="B5" s="8" t="n">
        <v>11720</v>
      </c>
      <c r="C5" s="8" t="n">
        <v>12427</v>
      </c>
      <c r="D5" s="8">
        <f>C5-B5</f>
        <v/>
      </c>
      <c r="E5" s="9">
        <f>D5/B5</f>
        <v/>
      </c>
      <c r="F5" s="8" t="n">
        <v>11279</v>
      </c>
      <c r="G5" s="8">
        <f>F5-C5</f>
        <v/>
      </c>
      <c r="H5" s="9">
        <f>G5/C5</f>
        <v/>
      </c>
      <c r="I5" s="8">
        <f>B5+C5+F5</f>
        <v/>
      </c>
    </row>
    <row r="6">
      <c r="A6" s="4" t="inlineStr">
        <is>
          <t>Cost of Goods Sold</t>
        </is>
      </c>
      <c r="B6" s="8" t="n">
        <v>6777</v>
      </c>
      <c r="C6" s="8" t="n">
        <v>7382</v>
      </c>
      <c r="D6" s="8">
        <f>C6-B6</f>
        <v/>
      </c>
      <c r="E6" s="9">
        <f>D6/B6</f>
        <v/>
      </c>
      <c r="F6" s="8" t="n">
        <v>6749</v>
      </c>
      <c r="G6" s="8">
        <f>F6-C6</f>
        <v/>
      </c>
      <c r="H6" s="9">
        <f>G6/C6</f>
        <v/>
      </c>
      <c r="I6" s="8">
        <f>B6+C6+F6</f>
        <v/>
      </c>
    </row>
    <row r="7">
      <c r="A7" s="7" t="inlineStr">
        <is>
          <t>Gross Profit</t>
        </is>
      </c>
      <c r="B7" s="8">
        <f>B5-B6</f>
        <v/>
      </c>
      <c r="C7" s="8">
        <f>C5-C6</f>
        <v/>
      </c>
      <c r="D7" s="8">
        <f>C7-B7</f>
        <v/>
      </c>
      <c r="E7" s="9">
        <f>D7/B7</f>
        <v/>
      </c>
      <c r="F7" s="8">
        <f>F5-F6</f>
        <v/>
      </c>
      <c r="G7" s="8">
        <f>F7-C7</f>
        <v/>
      </c>
      <c r="H7" s="9">
        <f>G7/C7</f>
        <v/>
      </c>
      <c r="I7" s="8">
        <f>I5-I6</f>
        <v/>
      </c>
    </row>
    <row r="8">
      <c r="A8" s="2" t="inlineStr">
        <is>
          <t>Gross Margin</t>
        </is>
      </c>
      <c r="B8" s="9">
        <f>B7/B5</f>
        <v/>
      </c>
      <c r="C8" s="9">
        <f>C7/C5</f>
        <v/>
      </c>
      <c r="F8" s="9">
        <f>F7/F5</f>
        <v/>
      </c>
      <c r="I8" s="9">
        <f>I7/I5</f>
        <v/>
      </c>
    </row>
    <row r="10">
      <c r="A10" s="4" t="inlineStr">
        <is>
          <t>SG&amp;A Expense</t>
        </is>
      </c>
      <c r="B10" s="8" t="n">
        <v>4016</v>
      </c>
      <c r="C10" s="8" t="n">
        <v>4039</v>
      </c>
      <c r="D10" s="8">
        <f>C10-B10</f>
        <v/>
      </c>
      <c r="E10" s="9">
        <f>D10/B10</f>
        <v/>
      </c>
      <c r="F10" s="8" t="n">
        <v>3977</v>
      </c>
      <c r="G10" s="8">
        <f>F10-C10</f>
        <v/>
      </c>
      <c r="H10" s="9">
        <f>G10/C10</f>
        <v/>
      </c>
      <c r="I10" s="8">
        <f>B10+C10+F10</f>
        <v/>
      </c>
    </row>
    <row r="12">
      <c r="A12" s="10" t="inlineStr">
        <is>
          <t>Net Income</t>
        </is>
      </c>
      <c r="B12" s="8" t="n">
        <v>727</v>
      </c>
      <c r="C12" s="8" t="n">
        <v>792</v>
      </c>
      <c r="D12" s="8">
        <f>C12-B12</f>
        <v/>
      </c>
      <c r="E12" s="9">
        <f>D12/B12</f>
        <v/>
      </c>
      <c r="F12" s="8" t="n">
        <v>520</v>
      </c>
      <c r="G12" s="8">
        <f>F12-C12</f>
        <v/>
      </c>
      <c r="H12" s="9">
        <f>G12/C12</f>
        <v/>
      </c>
      <c r="I12" s="8">
        <f>B12+C12+F12</f>
        <v/>
      </c>
    </row>
    <row r="13">
      <c r="A13" s="2" t="inlineStr">
        <is>
          <t>Net Margin</t>
        </is>
      </c>
      <c r="B13" s="9">
        <f>B12/B5</f>
        <v/>
      </c>
      <c r="C13" s="9">
        <f>C12/C5</f>
        <v/>
      </c>
      <c r="F13" s="9">
        <f>F12/F5</f>
        <v/>
      </c>
      <c r="I13" s="9">
        <f>I12/I5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NIKE, Inc. - Balance Sheet Variance Analysis</t>
        </is>
      </c>
    </row>
    <row r="2">
      <c r="A2" s="2" t="inlineStr">
        <is>
          <t>All figures in USD millions</t>
        </is>
      </c>
    </row>
    <row r="4">
      <c r="A4" s="1" t="inlineStr">
        <is>
          <t>Line Item</t>
        </is>
      </c>
      <c r="B4" s="3" t="inlineStr">
        <is>
          <t>FY2025</t>
        </is>
      </c>
      <c r="C4" s="3" t="inlineStr">
        <is>
          <t>Q1 FY2026</t>
        </is>
      </c>
      <c r="D4" s="3" t="inlineStr">
        <is>
          <t>Q2 FY2026</t>
        </is>
      </c>
      <c r="E4" s="3" t="inlineStr">
        <is>
          <t>Q3 FY2026</t>
        </is>
      </c>
      <c r="F4" s="3" t="inlineStr">
        <is>
          <t>Chg FY25-Q1</t>
        </is>
      </c>
      <c r="G4" s="3" t="inlineStr">
        <is>
          <t>Chg Q1-Q2</t>
        </is>
      </c>
      <c r="H4" s="3" t="inlineStr">
        <is>
          <t>Chg Q2-Q3</t>
        </is>
      </c>
    </row>
    <row r="5">
      <c r="A5" s="4" t="inlineStr">
        <is>
          <t>Total Assets</t>
        </is>
      </c>
      <c r="B5" s="8" t="n">
        <v>36579</v>
      </c>
      <c r="C5" s="8" t="n">
        <v>37334</v>
      </c>
      <c r="D5" s="8" t="n">
        <v>37787</v>
      </c>
      <c r="E5" s="8" t="n">
        <v>37064</v>
      </c>
      <c r="F5" s="8">
        <f>C5-B5</f>
        <v/>
      </c>
      <c r="G5" s="8">
        <f>D5-C5</f>
        <v/>
      </c>
      <c r="H5" s="8">
        <f>E5-D5</f>
        <v/>
      </c>
    </row>
    <row r="6">
      <c r="A6" s="4" t="inlineStr">
        <is>
          <t>Stockholders' Equity</t>
        </is>
      </c>
      <c r="C6" s="8" t="n">
        <v>13468</v>
      </c>
      <c r="D6" s="8" t="n">
        <v>14085</v>
      </c>
      <c r="E6" s="8" t="n">
        <v>14090</v>
      </c>
      <c r="G6" s="8">
        <f>D6-C6</f>
        <v/>
      </c>
      <c r="H6" s="8">
        <f>E6-D6</f>
        <v/>
      </c>
    </row>
    <row r="7">
      <c r="A7" s="4" t="inlineStr">
        <is>
          <t>Cash &amp; Cash Equivalents</t>
        </is>
      </c>
      <c r="B7" s="8" t="n">
        <v>7464</v>
      </c>
      <c r="C7" s="8" t="n">
        <v>7024</v>
      </c>
      <c r="D7" s="8" t="n">
        <v>6974</v>
      </c>
      <c r="E7" s="8" t="n">
        <v>6660</v>
      </c>
      <c r="F7" s="8">
        <f>C7-B7</f>
        <v/>
      </c>
      <c r="G7" s="8">
        <f>D7-C7</f>
        <v/>
      </c>
      <c r="H7" s="8">
        <f>E7-D7</f>
        <v/>
      </c>
    </row>
    <row r="9">
      <c r="A9" s="1" t="inlineStr">
        <is>
          <t>Return on Equity (ROE) Calculation</t>
        </is>
      </c>
    </row>
    <row r="10">
      <c r="A10" s="2" t="inlineStr">
        <is>
          <t>9M Cumulative Net Income</t>
        </is>
      </c>
      <c r="B10" s="8" t="n">
        <v>2039</v>
      </c>
    </row>
    <row r="11">
      <c r="A11" s="2" t="inlineStr">
        <is>
          <t>Annualized Net Income (x4/3)</t>
        </is>
      </c>
      <c r="B11" s="8">
        <f>B10*4/3</f>
        <v/>
      </c>
    </row>
    <row r="12">
      <c r="A12" s="2" t="inlineStr">
        <is>
          <t>Avg Stockholders' Equity (Q1+Q3)/2</t>
        </is>
      </c>
      <c r="B12" s="8">
        <f>(C6+E6)/2</f>
        <v/>
      </c>
    </row>
    <row r="13">
      <c r="A13" s="10" t="inlineStr">
        <is>
          <t>Return on Equity (ROE)</t>
        </is>
      </c>
      <c r="B13" s="9">
        <f>B11/B12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NIKE, Inc. - EPS Diluted Variance Analysis</t>
        </is>
      </c>
    </row>
    <row r="2">
      <c r="A2" s="2" t="inlineStr">
        <is>
          <t>Diluted Earnings Per Share</t>
        </is>
      </c>
    </row>
    <row r="4">
      <c r="A4" s="1" t="inlineStr">
        <is>
          <t>Period</t>
        </is>
      </c>
      <c r="B4" s="3" t="inlineStr">
        <is>
          <t>Diluted EPS</t>
        </is>
      </c>
      <c r="C4" s="3" t="inlineStr">
        <is>
          <t>QoQ Change ($)</t>
        </is>
      </c>
      <c r="D4" s="3" t="inlineStr">
        <is>
          <t>QoQ Change (%)</t>
        </is>
      </c>
    </row>
    <row r="5">
      <c r="A5" s="4" t="inlineStr">
        <is>
          <t>Q1 FY2026</t>
        </is>
      </c>
      <c r="B5" s="6" t="n">
        <v>0.49</v>
      </c>
    </row>
    <row r="6">
      <c r="A6" s="4" t="inlineStr">
        <is>
          <t>Q2 FY2026</t>
        </is>
      </c>
      <c r="B6" s="6" t="n">
        <v>0.53</v>
      </c>
      <c r="C6" s="6">
        <f>B6-B5</f>
        <v/>
      </c>
      <c r="D6" s="9">
        <f>C6/B5</f>
        <v/>
      </c>
    </row>
    <row r="7">
      <c r="A7" s="4" t="inlineStr">
        <is>
          <t>Q3 FY2026</t>
        </is>
      </c>
      <c r="B7" s="6" t="n">
        <v>0.35</v>
      </c>
      <c r="C7" s="6">
        <f>B7-B6</f>
        <v/>
      </c>
      <c r="D7" s="9">
        <f>C7/B6</f>
        <v/>
      </c>
    </row>
    <row r="9">
      <c r="A9" s="1" t="inlineStr">
        <is>
          <t>Cumulative EPS Check</t>
        </is>
      </c>
    </row>
    <row r="10">
      <c r="A10" s="2" t="inlineStr">
        <is>
          <t>Sum of Quarterly EPS</t>
        </is>
      </c>
      <c r="B10" s="6">
        <f>B5+B6+B7</f>
        <v/>
      </c>
    </row>
    <row r="11">
      <c r="A11" s="2" t="inlineStr">
        <is>
          <t>XBRL Reported 9M Diluted EPS</t>
        </is>
      </c>
      <c r="B11" s="6" t="n">
        <v>1.38</v>
      </c>
    </row>
    <row r="12">
      <c r="A12" s="4" t="inlineStr">
        <is>
          <t>Difference (Rounding)</t>
        </is>
      </c>
      <c r="B12" s="6">
        <f>B11-B10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2026-05-13T18:44:13Z</dcterms:created>
  <dcterms:modified xmlns:dcterms="http://purl.org/dc/terms/" xmlns:xsi="http://www.w3.org/2001/XMLSchema-instance" xsi:type="dcterms:W3CDTF">2026-05-13T18:44:13Z</dcterms:modified>
</cp:coreProperties>
</file>