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QoQ Variance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4" fontId="0" fillId="3" borderId="0" pivotButton="0" quotePrefix="0" xfId="0"/>
    <xf numFmtId="165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Amazon.com, Inc. - P&amp;L Summary</t>
        </is>
      </c>
    </row>
    <row r="2">
      <c r="A2" s="2" t="inlineStr">
        <is>
          <t>(Amounts in Billions unless otherwise noted)</t>
        </is>
      </c>
    </row>
    <row r="3">
      <c r="A3" s="1" t="inlineStr">
        <is>
          <t>Line Item</t>
        </is>
      </c>
      <c r="B3" s="1" t="inlineStr">
        <is>
          <t>Q1 2026</t>
        </is>
      </c>
      <c r="C3" s="1" t="inlineStr">
        <is>
          <t>Q3 2025</t>
        </is>
      </c>
      <c r="D3" s="1" t="inlineStr">
        <is>
          <t>Q2 2025</t>
        </is>
      </c>
      <c r="E3" s="1" t="inlineStr">
        <is>
          <t>FY2025 Avg</t>
        </is>
      </c>
    </row>
    <row r="4">
      <c r="A4" s="3" t="inlineStr">
        <is>
          <t>Revenue</t>
        </is>
      </c>
      <c r="B4" s="4" t="n">
        <v>181.5</v>
      </c>
      <c r="C4" s="4" t="n">
        <v>180.2</v>
      </c>
      <c r="D4" s="4" t="n">
        <v>161.7</v>
      </c>
      <c r="E4" s="4" t="n">
        <v>179.2</v>
      </c>
    </row>
    <row r="5">
      <c r="A5" s="3" t="inlineStr">
        <is>
          <t>Cost of Revenue</t>
        </is>
      </c>
      <c r="B5" s="4" t="n">
        <v>87.5</v>
      </c>
      <c r="C5" s="4" t="n">
        <v>88.7</v>
      </c>
      <c r="D5" s="4" t="n">
        <v>78.90000000000001</v>
      </c>
      <c r="E5" s="4" t="n">
        <v>89.09999999999999</v>
      </c>
    </row>
    <row r="6">
      <c r="A6" s="5" t="inlineStr">
        <is>
          <t>Gross Profit</t>
        </is>
      </c>
      <c r="B6" s="6">
        <f>B4-B5</f>
        <v/>
      </c>
      <c r="C6" s="6">
        <f>C4-C5</f>
        <v/>
      </c>
      <c r="D6" s="6">
        <f>D4-D5</f>
        <v/>
      </c>
      <c r="E6" s="6">
        <f>E4-E5</f>
        <v/>
      </c>
    </row>
    <row r="7">
      <c r="A7" s="3" t="inlineStr">
        <is>
          <t>Operating Income</t>
        </is>
      </c>
      <c r="B7" s="4" t="n">
        <v>23.9</v>
      </c>
      <c r="C7" s="4" t="n">
        <v>17.4</v>
      </c>
      <c r="D7" s="4" t="n">
        <v>18.8</v>
      </c>
      <c r="E7" s="4" t="n">
        <v>20</v>
      </c>
    </row>
    <row r="8">
      <c r="A8" s="3" t="inlineStr">
        <is>
          <t>Net Income</t>
        </is>
      </c>
      <c r="B8" s="4" t="n">
        <v>30.3</v>
      </c>
      <c r="C8" s="4" t="n">
        <v>19.5</v>
      </c>
      <c r="D8" s="4" t="n">
        <v>19.1</v>
      </c>
      <c r="E8" s="4" t="n">
        <v>19.4</v>
      </c>
    </row>
    <row r="9">
      <c r="A9" s="3" t="inlineStr">
        <is>
          <t>EPS (Diluted)</t>
        </is>
      </c>
      <c r="B9" s="7" t="n">
        <v>2.78</v>
      </c>
      <c r="C9" s="7" t="n">
        <v>1.95</v>
      </c>
      <c r="D9" s="7" t="n">
        <v>3.27</v>
      </c>
      <c r="E9" s="7" t="n">
        <v>1.79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Amazon.com, Inc. - Q1 2026 vs Q3 2025 Variance</t>
        </is>
      </c>
    </row>
    <row r="2">
      <c r="A2" s="2" t="inlineStr">
        <is>
          <t>(Amounts in Billions)</t>
        </is>
      </c>
    </row>
    <row r="3">
      <c r="A3" s="1" t="inlineStr">
        <is>
          <t>Line Item</t>
        </is>
      </c>
      <c r="B3" s="1" t="inlineStr">
        <is>
          <t>Q1 2026</t>
        </is>
      </c>
      <c r="C3" s="1" t="inlineStr">
        <is>
          <t>Q3 2025</t>
        </is>
      </c>
      <c r="D3" s="1" t="inlineStr">
        <is>
          <t>Variance ($)</t>
        </is>
      </c>
      <c r="E3" s="1" t="inlineStr">
        <is>
          <t>Variance (%)</t>
        </is>
      </c>
    </row>
    <row r="4">
      <c r="A4" s="3" t="inlineStr">
        <is>
          <t>Revenue</t>
        </is>
      </c>
      <c r="B4" s="4" t="n">
        <v>181.5</v>
      </c>
      <c r="C4" s="4" t="n">
        <v>180.2</v>
      </c>
      <c r="D4" s="6">
        <f>B4-C4</f>
        <v/>
      </c>
      <c r="E4" s="8">
        <f>D4/C4</f>
        <v/>
      </c>
    </row>
    <row r="5">
      <c r="A5" s="3" t="inlineStr">
        <is>
          <t>Cost of Revenue</t>
        </is>
      </c>
      <c r="B5" s="4" t="n">
        <v>87.5</v>
      </c>
      <c r="C5" s="4" t="n">
        <v>88.7</v>
      </c>
      <c r="D5" s="6">
        <f>B5-C5</f>
        <v/>
      </c>
      <c r="E5" s="8">
        <f>D5/C5</f>
        <v/>
      </c>
    </row>
    <row r="6">
      <c r="A6" s="5" t="inlineStr">
        <is>
          <t>Gross Profit</t>
        </is>
      </c>
      <c r="B6" s="6">
        <f>B4-B5</f>
        <v/>
      </c>
      <c r="C6" s="6">
        <f>C4-C5</f>
        <v/>
      </c>
      <c r="D6" s="6">
        <f>B6-C6</f>
        <v/>
      </c>
      <c r="E6" s="8">
        <f>D6/C6</f>
        <v/>
      </c>
    </row>
    <row r="7">
      <c r="A7" s="3" t="inlineStr">
        <is>
          <t>Operating Income</t>
        </is>
      </c>
      <c r="B7" s="4" t="n">
        <v>23.9</v>
      </c>
      <c r="C7" s="4" t="n">
        <v>17.4</v>
      </c>
      <c r="D7" s="6">
        <f>B7-C7</f>
        <v/>
      </c>
      <c r="E7" s="8">
        <f>D7/C7</f>
        <v/>
      </c>
    </row>
    <row r="8">
      <c r="A8" s="3" t="inlineStr">
        <is>
          <t>Net Income</t>
        </is>
      </c>
      <c r="B8" s="4" t="n">
        <v>30.3</v>
      </c>
      <c r="C8" s="4" t="n">
        <v>19.5</v>
      </c>
      <c r="D8" s="6">
        <f>B8-C8</f>
        <v/>
      </c>
      <c r="E8" s="8">
        <f>D8/C8</f>
        <v/>
      </c>
    </row>
    <row r="9">
      <c r="A9" s="3" t="inlineStr">
        <is>
          <t>EPS (Diluted)</t>
        </is>
      </c>
      <c r="B9" s="7" t="n">
        <v>2.78</v>
      </c>
      <c r="C9" s="7" t="n">
        <v>1.95</v>
      </c>
      <c r="D9" s="9">
        <f>B9-C9</f>
        <v/>
      </c>
      <c r="E9" s="8">
        <f>D9/C9</f>
        <v/>
      </c>
    </row>
    <row r="11">
      <c r="A11" s="1" t="inlineStr">
        <is>
          <t>Commentary</t>
        </is>
      </c>
    </row>
    <row r="12">
      <c r="A12" t="inlineStr">
        <is>
          <t>Net Income of $30.3B represents the largest QoQ variance driver at +$10.8B (+55.4%), driven by non-operating gains.</t>
        </is>
      </c>
    </row>
    <row r="13">
      <c r="A13" t="inlineStr">
        <is>
          <t>Revenue grew modestly by $1.3B QoQ (+0.7%), indicating stable top-line performance.</t>
        </is>
      </c>
    </row>
    <row r="14">
      <c r="A14" t="inlineStr">
        <is>
          <t>Cost of Revenue decreased by $1.2B QoQ (-1.4%), contributing to margin expansion.</t>
        </is>
      </c>
    </row>
    <row r="15">
      <c r="A15" t="inlineStr">
        <is>
          <t>Operating Income increased $6.5B QoQ (+37.4%), the second largest absolute dollar improvement.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Amazon.com, Inc. - Balance Sheet Summary</t>
        </is>
      </c>
    </row>
    <row r="2">
      <c r="A2" s="2" t="inlineStr">
        <is>
          <t>(Amounts in Billions)</t>
        </is>
      </c>
    </row>
    <row r="3">
      <c r="A3" s="1" t="inlineStr">
        <is>
          <t>Line Item</t>
        </is>
      </c>
      <c r="B3" s="1" t="inlineStr">
        <is>
          <t>Q1 2026</t>
        </is>
      </c>
      <c r="C3" s="1" t="inlineStr">
        <is>
          <t>FY 2025</t>
        </is>
      </c>
      <c r="D3" s="1" t="inlineStr">
        <is>
          <t>Q3 2025</t>
        </is>
      </c>
      <c r="E3" s="1" t="inlineStr">
        <is>
          <t>Q2 2025</t>
        </is>
      </c>
      <c r="F3" s="1" t="inlineStr">
        <is>
          <t>QoQ Change</t>
        </is>
      </c>
    </row>
    <row r="4">
      <c r="A4" s="3" t="inlineStr">
        <is>
          <t>Total Assets</t>
        </is>
      </c>
      <c r="B4" s="4" t="n">
        <v>916.6</v>
      </c>
      <c r="C4" s="4" t="n">
        <v>818</v>
      </c>
      <c r="D4" s="4" t="n">
        <v>727.9</v>
      </c>
      <c r="E4" s="4" t="n">
        <v>682.2</v>
      </c>
      <c r="F4" s="6">
        <f>B4-C4</f>
        <v/>
      </c>
    </row>
    <row r="5">
      <c r="A5" s="3" t="inlineStr">
        <is>
          <t>Stockholders Equity</t>
        </is>
      </c>
      <c r="B5" s="4" t="n">
        <v>441.9</v>
      </c>
      <c r="C5" s="4" t="n">
        <v>411.1</v>
      </c>
      <c r="D5" s="4" t="n">
        <v>369.6</v>
      </c>
      <c r="E5" s="4" t="n">
        <v>333.8</v>
      </c>
      <c r="F5" s="6">
        <f>B5-C5</f>
        <v/>
      </c>
    </row>
    <row r="6">
      <c r="A6" s="3" t="inlineStr">
        <is>
          <t>Cash and Cash Equivalents</t>
        </is>
      </c>
      <c r="B6" s="4" t="n">
        <v>101.8</v>
      </c>
      <c r="C6" s="4" t="n">
        <v>86.8</v>
      </c>
      <c r="D6" s="4" t="n">
        <v>66.90000000000001</v>
      </c>
      <c r="E6" s="4" t="n">
        <v>57.7</v>
      </c>
      <c r="F6" s="6">
        <f>B6-C6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Amazon.com, Inc. - Key Financial Ratios</t>
        </is>
      </c>
    </row>
    <row r="2">
      <c r="A2" s="2" t="inlineStr">
        <is>
          <t>(Percentages unless otherwise noted)</t>
        </is>
      </c>
    </row>
    <row r="3">
      <c r="A3" s="1" t="inlineStr">
        <is>
          <t>Ratio</t>
        </is>
      </c>
      <c r="B3" s="1" t="inlineStr">
        <is>
          <t>Q1 2026</t>
        </is>
      </c>
      <c r="C3" s="1" t="inlineStr">
        <is>
          <t>Q3 2025</t>
        </is>
      </c>
    </row>
    <row r="4">
      <c r="A4" s="3" t="inlineStr">
        <is>
          <t>Gross Margin</t>
        </is>
      </c>
      <c r="B4" s="8">
        <f>('P&amp;L Summary'!B6)/('P&amp;L Summary'!B4)</f>
        <v/>
      </c>
      <c r="C4" s="8">
        <f>('P&amp;L Summary'!C6)/('P&amp;L Summary'!C4)</f>
        <v/>
      </c>
    </row>
    <row r="5">
      <c r="A5" s="3" t="inlineStr">
        <is>
          <t>Operating Margin</t>
        </is>
      </c>
      <c r="B5" s="8">
        <f>('P&amp;L Summary'!B7)/('P&amp;L Summary'!B4)</f>
        <v/>
      </c>
      <c r="C5" s="8">
        <f>('P&amp;L Summary'!C7)/('P&amp;L Summary'!C4)</f>
        <v/>
      </c>
    </row>
    <row r="6">
      <c r="A6" s="3" t="inlineStr">
        <is>
          <t>Net Margin</t>
        </is>
      </c>
      <c r="B6" s="8">
        <f>('P&amp;L Summary'!B8)/('P&amp;L Summary'!B4)</f>
        <v/>
      </c>
      <c r="C6" s="8">
        <f>('P&amp;L Summary'!C8)/('P&amp;L Summary'!C4)</f>
        <v/>
      </c>
    </row>
    <row r="7">
      <c r="A7" s="3" t="inlineStr">
        <is>
          <t>Return on Equity</t>
        </is>
      </c>
      <c r="B7" s="8">
        <f>('P&amp;L Summary'!B8)/('Balance Sheet'!B5)</f>
        <v/>
      </c>
      <c r="C7" s="8">
        <f>('P&amp;L Summary'!C8)/('Balance Sheet'!D5)</f>
        <v/>
      </c>
    </row>
    <row r="8">
      <c r="A8" s="3" t="inlineStr">
        <is>
          <t>Return on Assets</t>
        </is>
      </c>
      <c r="B8" s="8">
        <f>('P&amp;L Summary'!B8)/('Balance Sheet'!B4)</f>
        <v/>
      </c>
      <c r="C8" s="8">
        <f>('P&amp;L Summary'!C8)/('Balance Sheet'!D4)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2026-05-13T18:48:45Z</dcterms:created>
  <dcterms:modified xmlns:dcterms="http://purl.org/dc/terms/" xmlns:xsi="http://www.w3.org/2001/XMLSchema-instance" xsi:type="dcterms:W3CDTF">2026-05-13T18:48:45Z</dcterms:modified>
</cp:coreProperties>
</file>