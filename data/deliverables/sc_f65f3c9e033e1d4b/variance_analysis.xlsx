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Procter &amp; Gamble Co (PG) - Quarterly Financial Data</t>
        </is>
      </c>
    </row>
    <row r="2">
      <c r="A2" s="2" t="inlineStr">
        <is>
          <t>Source: SEC EDGAR XBRL | Ticker: PG | CIK: 0000080424</t>
        </is>
      </c>
    </row>
    <row r="4">
      <c r="A4" s="1" t="inlineStr">
        <is>
          <t>Line Item</t>
        </is>
      </c>
      <c r="B4" s="1" t="inlineStr">
        <is>
          <t>Q1 FY2026</t>
        </is>
      </c>
      <c r="C4" s="1" t="inlineStr">
        <is>
          <t>Q2 FY2026</t>
        </is>
      </c>
      <c r="D4" s="1" t="inlineStr">
        <is>
          <t>Q3 FY2026</t>
        </is>
      </c>
    </row>
    <row r="5">
      <c r="A5" t="inlineStr">
        <is>
          <t>Revenue ($B)</t>
        </is>
      </c>
      <c r="B5" s="3" t="n">
        <v>22.386</v>
      </c>
      <c r="C5" s="3" t="n">
        <v>22.208</v>
      </c>
      <c r="D5" s="3" t="n">
        <v>21.235</v>
      </c>
    </row>
    <row r="6">
      <c r="A6" t="inlineStr">
        <is>
          <t>COGS ($B)</t>
        </is>
      </c>
      <c r="B6" s="3" t="n">
        <v>10.887</v>
      </c>
      <c r="C6" s="3" t="n">
        <v>10.834</v>
      </c>
      <c r="D6" s="3" t="n">
        <v>10.722</v>
      </c>
    </row>
    <row r="7">
      <c r="A7" t="inlineStr">
        <is>
          <t>Operating Income ($B)</t>
        </is>
      </c>
      <c r="B7" s="3" t="n">
        <v>5.856</v>
      </c>
      <c r="C7" s="3" t="n">
        <v>5.366</v>
      </c>
      <c r="D7" s="3" t="n">
        <v>4.576</v>
      </c>
    </row>
    <row r="8">
      <c r="A8" t="inlineStr">
        <is>
          <t>Net Income ($B)</t>
        </is>
      </c>
      <c r="B8" s="3" t="n">
        <v>4.75</v>
      </c>
      <c r="C8" s="3" t="n">
        <v>4.319</v>
      </c>
      <c r="D8" s="3" t="n">
        <v>3.932</v>
      </c>
    </row>
    <row r="9">
      <c r="A9" t="inlineStr">
        <is>
          <t>EPS Diluted ($)</t>
        </is>
      </c>
      <c r="B9" s="4" t="n">
        <v>1.95</v>
      </c>
      <c r="C9" s="4" t="n">
        <v>1.78</v>
      </c>
      <c r="D9" s="4" t="n">
        <v>1.63</v>
      </c>
    </row>
    <row r="10">
      <c r="A10" t="inlineStr">
        <is>
          <t>SG&amp;A ($B)</t>
        </is>
      </c>
      <c r="B10" s="3" t="n">
        <v>5.643</v>
      </c>
      <c r="C10" s="3" t="n">
        <v>6.008</v>
      </c>
      <c r="D10" s="3" t="n">
        <v>5.936</v>
      </c>
    </row>
    <row r="11">
      <c r="A11" t="inlineStr">
        <is>
          <t>R&amp;D ($B)</t>
        </is>
      </c>
      <c r="B11" s="3" t="n">
        <v>2.1</v>
      </c>
      <c r="C11" s="3" t="n">
        <v>2.1</v>
      </c>
      <c r="D11" s="3" t="n">
        <v>2.1</v>
      </c>
    </row>
    <row r="12">
      <c r="A12" t="inlineStr">
        <is>
          <t>Assets ($B)</t>
        </is>
      </c>
      <c r="B12" s="3" t="n">
        <v>127.599</v>
      </c>
      <c r="C12" s="3" t="n">
        <v>127.286</v>
      </c>
      <c r="D12" s="3" t="n">
        <v>128.378</v>
      </c>
    </row>
    <row r="13">
      <c r="A13" t="inlineStr">
        <is>
          <t>Liabilities ($B)</t>
        </is>
      </c>
      <c r="B13" s="3" t="n">
        <v>74.048</v>
      </c>
      <c r="C13" s="3" t="n">
        <v>73.96899999999999</v>
      </c>
      <c r="D13" s="3" t="n">
        <v>73.64700000000001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Procter &amp; Gamble Co (PG) - Variance Analysis</t>
        </is>
      </c>
    </row>
    <row r="3">
      <c r="A3" s="1" t="inlineStr">
        <is>
          <t>Quarter-over-Quarter Dollar Changes ($B)</t>
        </is>
      </c>
    </row>
    <row r="4">
      <c r="A4" s="1" t="inlineStr">
        <is>
          <t>Line Item</t>
        </is>
      </c>
      <c r="B4" s="1" t="inlineStr">
        <is>
          <t>Q2 vs Q1 ($B)</t>
        </is>
      </c>
      <c r="C4" s="1" t="inlineStr">
        <is>
          <t>Q3 vs Q2 ($B)</t>
        </is>
      </c>
    </row>
    <row r="5">
      <c r="A5" t="inlineStr">
        <is>
          <t>Revenue</t>
        </is>
      </c>
      <c r="B5" s="5">
        <f>Inputs!C5-Inputs!B5</f>
        <v/>
      </c>
      <c r="C5" s="5">
        <f>Inputs!D5-Inputs!C5</f>
        <v/>
      </c>
    </row>
    <row r="6">
      <c r="A6" t="inlineStr">
        <is>
          <t>COGS</t>
        </is>
      </c>
      <c r="B6" s="5">
        <f>Inputs!C6-Inputs!B6</f>
        <v/>
      </c>
      <c r="C6" s="5">
        <f>Inputs!D6-Inputs!C6</f>
        <v/>
      </c>
    </row>
    <row r="7">
      <c r="A7" t="inlineStr">
        <is>
          <t>Operating Income</t>
        </is>
      </c>
      <c r="B7" s="5">
        <f>Inputs!C7-Inputs!B7</f>
        <v/>
      </c>
      <c r="C7" s="5">
        <f>Inputs!D7-Inputs!C7</f>
        <v/>
      </c>
    </row>
    <row r="8">
      <c r="A8" t="inlineStr">
        <is>
          <t>Net Income</t>
        </is>
      </c>
      <c r="B8" s="5">
        <f>Inputs!C8-Inputs!B8</f>
        <v/>
      </c>
      <c r="C8" s="5">
        <f>Inputs!D8-Inputs!C8</f>
        <v/>
      </c>
    </row>
    <row r="10">
      <c r="A10" s="1" t="inlineStr">
        <is>
          <t>Quarter-over-Quarter Percentage Changes</t>
        </is>
      </c>
    </row>
    <row r="11">
      <c r="A11" s="1" t="inlineStr">
        <is>
          <t>Line Item</t>
        </is>
      </c>
      <c r="B11" s="1" t="inlineStr">
        <is>
          <t>Q2 vs Q1 (%)</t>
        </is>
      </c>
      <c r="C11" s="1" t="inlineStr">
        <is>
          <t>Q3 vs Q2 (%)</t>
        </is>
      </c>
    </row>
    <row r="12">
      <c r="A12" t="inlineStr">
        <is>
          <t>Revenue</t>
        </is>
      </c>
      <c r="B12" s="6">
        <f>(Inputs!C5-Inputs!B5)/Inputs!B5</f>
        <v/>
      </c>
      <c r="C12" s="6">
        <f>(Inputs!D5-Inputs!C5)/Inputs!C5</f>
        <v/>
      </c>
    </row>
    <row r="13">
      <c r="A13" t="inlineStr">
        <is>
          <t>COGS</t>
        </is>
      </c>
      <c r="B13" s="6">
        <f>(Inputs!C6-Inputs!B6)/Inputs!B6</f>
        <v/>
      </c>
      <c r="C13" s="6">
        <f>(Inputs!D6-Inputs!C6)/Inputs!C6</f>
        <v/>
      </c>
    </row>
    <row r="14">
      <c r="A14" t="inlineStr">
        <is>
          <t>Operating Income</t>
        </is>
      </c>
      <c r="B14" s="6">
        <f>(Inputs!C7-Inputs!B7)/Inputs!B7</f>
        <v/>
      </c>
      <c r="C14" s="6">
        <f>(Inputs!D7-Inputs!C7)/Inputs!C7</f>
        <v/>
      </c>
    </row>
    <row r="15">
      <c r="A15" t="inlineStr">
        <is>
          <t>Net Income</t>
        </is>
      </c>
      <c r="B15" s="6">
        <f>(Inputs!C8-Inputs!B8)/Inputs!B8</f>
        <v/>
      </c>
      <c r="C15" s="6">
        <f>(Inputs!D8-Inputs!C8)/Inputs!C8</f>
        <v/>
      </c>
    </row>
    <row r="17">
      <c r="A17" s="1" t="inlineStr">
        <is>
          <t>Profitability Ratios (Margins)</t>
        </is>
      </c>
    </row>
    <row r="18">
      <c r="A18" s="1" t="inlineStr">
        <is>
          <t>Margin</t>
        </is>
      </c>
      <c r="B18" s="1" t="inlineStr">
        <is>
          <t>Q1 FY2026</t>
        </is>
      </c>
      <c r="C18" s="1" t="inlineStr">
        <is>
          <t>Q2 FY2026</t>
        </is>
      </c>
      <c r="D18" s="1" t="inlineStr">
        <is>
          <t>Q3 FY2026</t>
        </is>
      </c>
    </row>
    <row r="19">
      <c r="A19" t="inlineStr">
        <is>
          <t>Gross Margin</t>
        </is>
      </c>
      <c r="B19" s="7">
        <f>(Inputs!B5-Inputs!B6)/Inputs!B5</f>
        <v/>
      </c>
      <c r="C19" s="7">
        <f>(Inputs!C5-Inputs!C6)/Inputs!C5</f>
        <v/>
      </c>
      <c r="D19" s="7">
        <f>(Inputs!D5-Inputs!D6)/Inputs!D5</f>
        <v/>
      </c>
    </row>
    <row r="20">
      <c r="A20" t="inlineStr">
        <is>
          <t>Operating Margin</t>
        </is>
      </c>
      <c r="B20" s="7">
        <f>Inputs!B7/Inputs!B5</f>
        <v/>
      </c>
      <c r="C20" s="7">
        <f>Inputs!C7/Inputs!C5</f>
        <v/>
      </c>
      <c r="D20" s="7">
        <f>Inputs!D7/Inputs!D5</f>
        <v/>
      </c>
    </row>
    <row r="21">
      <c r="A21" t="inlineStr">
        <is>
          <t>Net Margin</t>
        </is>
      </c>
      <c r="B21" s="7">
        <f>Inputs!B8/Inputs!B5</f>
        <v/>
      </c>
      <c r="C21" s="7">
        <f>Inputs!C8/Inputs!C5</f>
        <v/>
      </c>
      <c r="D21" s="7">
        <f>Inputs!D8/Inputs!D5</f>
        <v/>
      </c>
    </row>
    <row r="23">
      <c r="A23" s="8" t="inlineStr">
        <is>
          <t>Operating Margin Q3 vs Q2 Change (bps)</t>
        </is>
      </c>
      <c r="B23" s="9">
        <f>(D20-C20)*10000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Procter &amp; Gamble Co (PG) - Q3 FY2026 Variance Analysis Summary</t>
        </is>
      </c>
    </row>
    <row r="3">
      <c r="A3" s="1" t="inlineStr">
        <is>
          <t>Revenue Trend (Q1-Q3 FY2026)</t>
        </is>
      </c>
    </row>
    <row r="4">
      <c r="A4" t="inlineStr">
        <is>
          <t>Revenue declined sequentially across all three quarters: from $22.386B in Q1 to $22.208B in Q2 (a decline of $0.178B or -0.8%) and further to $21.235B in Q3 (a decline of $0.973B or -4.4%). The Q3 decline was materially larger than Q2, representing the most significant sequential revenue contraction in the period. Total revenue for the first three quarters was $65.829B.</t>
        </is>
      </c>
    </row>
    <row r="6">
      <c r="A6" s="1" t="inlineStr">
        <is>
          <t>Largest Absolute Dollar Variance</t>
        </is>
      </c>
    </row>
    <row r="7">
      <c r="A7" t="inlineStr">
        <is>
          <t>The largest absolute dollar variance between consecutive quarters was in Revenue: Q3 vs Q2 showed a decline of $0.973B (from $22.208B to $21.235B). This exceeded all other line-item variances including the Q3 vs Q2 operating income decline of $0.790B (from $5.366B to $4.576B).</t>
        </is>
      </c>
    </row>
    <row r="9">
      <c r="A9" s="1" t="inlineStr">
        <is>
          <t>Operating Margin Change Q3 vs Q2</t>
        </is>
      </c>
    </row>
    <row r="10">
      <c r="A10" t="inlineStr">
        <is>
          <t>Operating margins contracted Q3 vs Q2. Q2 operating margin was 24.16% (Operating Income of $5.366B on Revenue of $22.208B). Q3 operating margin was 21.55% (Operating Income of $4.576B on Revenue of $21.235B). This represents a contraction of approximately 261 basis points. The margin compression was driven by revenue declining faster than operating expenses.</t>
        </is>
      </c>
    </row>
    <row r="12">
      <c r="A12" s="1" t="inlineStr">
        <is>
          <t>EPS and Net Income Relationship</t>
        </is>
      </c>
    </row>
    <row r="13">
      <c r="A13" t="inlineStr">
        <is>
          <t>EPS diluted and net income moved in the same direction across all quarters. Net income declined from $4.750B in Q1 to $4.319B in Q2 to $3.932B in Q3. Similarly, EPS diluted declined from $1.95 to $1.78 to $1.63. The percentage declines were roughly parallel: net income fell -9.1% Q2 vs Q1 and -9.0% Q3 vs Q2, while EPS fell -8.7% Q2 vs Q1 and -8.4% Q3 vs Q2, suggesting a relatively stable share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2026-05-13T19:14:54Z</dcterms:created>
  <dcterms:modified xmlns:dcterms="http://purl.org/dc/terms/" xmlns:xsi="http://www.w3.org/2001/XMLSchema-instance" xsi:type="dcterms:W3CDTF">2026-05-13T19:14:54Z</dcterms:modified>
</cp:coreProperties>
</file>