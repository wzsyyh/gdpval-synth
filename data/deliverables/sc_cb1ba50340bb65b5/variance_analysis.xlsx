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alysis" sheetId="1" state="visible" r:id="rId1"/>
    <sheet xmlns:r="http://schemas.openxmlformats.org/officeDocument/2006/relationships" name="Profitability Analysis" sheetId="2" state="visible" r:id="rId2"/>
    <sheet xmlns:r="http://schemas.openxmlformats.org/officeDocument/2006/relationships" name="Balance Sheet Analysis" sheetId="3" state="visible" r:id="rId3"/>
    <sheet xmlns:r="http://schemas.openxmlformats.org/officeDocument/2006/relationships" name="Earnings Analysis" sheetId="4" state="visible" r:id="rId4"/>
    <sheet xmlns:r="http://schemas.openxmlformats.org/officeDocument/2006/relationships" name="Summary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x"/>
    <numFmt numFmtId="167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right" vertical="center"/>
    </xf>
    <xf numFmtId="164" fontId="0" fillId="3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3" borderId="0" pivotButton="0" quotePrefix="0" xfId="0"/>
    <xf numFmtId="167" fontId="0" fillId="4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NVIDIA Corporation (NVDA) - Revenue Variance Analysis</t>
        </is>
      </c>
    </row>
    <row r="2">
      <c r="A2" s="2" t="inlineStr">
        <is>
          <t>Q3 FY2026 vs Q2 FY2026 Sequential Comparison</t>
        </is>
      </c>
    </row>
    <row r="4">
      <c r="A4" s="1" t="inlineStr">
        <is>
          <t>Metric</t>
        </is>
      </c>
      <c r="B4" s="3" t="inlineStr">
        <is>
          <t>Q2 FY2026</t>
        </is>
      </c>
      <c r="C4" s="3" t="inlineStr">
        <is>
          <t>Q3 FY2026</t>
        </is>
      </c>
      <c r="D4" s="3" t="inlineStr">
        <is>
          <t>Change ($M)</t>
        </is>
      </c>
      <c r="E4" s="3" t="inlineStr">
        <is>
          <t>Change (%)</t>
        </is>
      </c>
    </row>
    <row r="5">
      <c r="A5" t="inlineStr">
        <is>
          <t>Revenue</t>
        </is>
      </c>
      <c r="B5" s="4" t="n">
        <v>46743</v>
      </c>
      <c r="C5" s="4" t="n">
        <v>57006</v>
      </c>
      <c r="D5" s="5">
        <f>C5-B5</f>
        <v/>
      </c>
      <c r="E5" s="6">
        <f>D5/B5</f>
        <v/>
      </c>
    </row>
    <row r="7">
      <c r="A7" s="7" t="inlineStr">
        <is>
          <t>Full-Year FY2026 Revenue</t>
        </is>
      </c>
      <c r="B7" s="4" t="n">
        <v>215938</v>
      </c>
    </row>
    <row r="8">
      <c r="A8" t="inlineStr">
        <is>
          <t>Implied FY2026 Quarterly Average</t>
        </is>
      </c>
      <c r="B8" s="5">
        <f>B7/4</f>
        <v/>
      </c>
    </row>
    <row r="9">
      <c r="A9" t="inlineStr">
        <is>
          <t>Q3 2026 vs Quarterly Average</t>
        </is>
      </c>
      <c r="C9" s="8">
        <f>C5</f>
        <v/>
      </c>
      <c r="D9" s="5">
        <f>C9-B8</f>
        <v/>
      </c>
      <c r="E9" s="6">
        <f>D9/B8</f>
        <v/>
      </c>
    </row>
    <row r="11">
      <c r="A11" s="7" t="inlineStr">
        <is>
          <t>Historical Revenue (from Contract)</t>
        </is>
      </c>
    </row>
    <row r="12">
      <c r="A12" t="inlineStr">
        <is>
          <t>FY2020 Revenue</t>
        </is>
      </c>
      <c r="B12" s="4" t="n">
        <v>10918</v>
      </c>
    </row>
    <row r="13">
      <c r="A13" t="inlineStr">
        <is>
          <t>FY2022 Revenue</t>
        </is>
      </c>
      <c r="B13" s="4" t="n">
        <v>26914</v>
      </c>
    </row>
    <row r="14">
      <c r="A14" t="inlineStr">
        <is>
          <t>FY2020-FY2022 CAGR</t>
        </is>
      </c>
      <c r="B14" s="6">
        <f>(B13/B12)^(1/2)-1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NVIDIA Corporation (NVDA) - Profitability Variance Analysis</t>
        </is>
      </c>
    </row>
    <row r="2">
      <c r="A2" s="2" t="inlineStr">
        <is>
          <t>Q3 FY2026 vs Q2 FY2026 Sequential Comparison</t>
        </is>
      </c>
    </row>
    <row r="4">
      <c r="A4" s="1" t="inlineStr">
        <is>
          <t>Margin Metrics</t>
        </is>
      </c>
      <c r="B4" s="3" t="inlineStr">
        <is>
          <t>Q2 FY2026</t>
        </is>
      </c>
      <c r="C4" s="3" t="inlineStr">
        <is>
          <t>Q3 FY2026</t>
        </is>
      </c>
      <c r="D4" s="3" t="inlineStr">
        <is>
          <t>Change (bps)</t>
        </is>
      </c>
    </row>
    <row r="5">
      <c r="A5" t="inlineStr">
        <is>
          <t>Gross Margin</t>
        </is>
      </c>
      <c r="B5" s="9">
        <f>33853/46743</f>
        <v/>
      </c>
      <c r="C5" s="9">
        <f>41849/57006</f>
        <v/>
      </c>
      <c r="D5" s="10">
        <f>(C5-B5)*10000</f>
        <v/>
      </c>
    </row>
    <row r="6">
      <c r="A6" t="inlineStr">
        <is>
          <t>Operating Margin</t>
        </is>
      </c>
      <c r="B6" s="9">
        <f>28440/46743</f>
        <v/>
      </c>
      <c r="C6" s="9">
        <f>36010/57006</f>
        <v/>
      </c>
      <c r="D6" s="10">
        <f>(C6-B6)*10000</f>
        <v/>
      </c>
    </row>
    <row r="7">
      <c r="A7" t="inlineStr">
        <is>
          <t>Net Margin</t>
        </is>
      </c>
      <c r="B7" s="9">
        <f>45197/46743</f>
        <v/>
      </c>
      <c r="C7" s="9">
        <f>31910/57006</f>
        <v/>
      </c>
      <c r="D7" s="10">
        <f>(C7-B7)*10000</f>
        <v/>
      </c>
    </row>
    <row r="9">
      <c r="A9" s="7" t="inlineStr">
        <is>
          <t>OpEx Analysis (R&amp;D + SG&amp;A)</t>
        </is>
      </c>
    </row>
    <row r="10">
      <c r="A10" t="inlineStr">
        <is>
          <t>R&amp;D Expense</t>
        </is>
      </c>
      <c r="B10" s="4" t="n">
        <v>4291</v>
      </c>
      <c r="C10" s="4" t="n">
        <v>4705</v>
      </c>
      <c r="D10" s="8">
        <f>C10-B10</f>
        <v/>
      </c>
      <c r="E10" s="9">
        <f>D10/B10</f>
        <v/>
      </c>
    </row>
    <row r="11">
      <c r="A11" t="inlineStr">
        <is>
          <t>SG&amp;A Expense</t>
        </is>
      </c>
      <c r="B11" s="4" t="n">
        <v>1122</v>
      </c>
      <c r="C11" s="4" t="n">
        <v>1134</v>
      </c>
      <c r="D11" s="8">
        <f>C11-B11</f>
        <v/>
      </c>
      <c r="E11" s="9">
        <f>D11/B11</f>
        <v/>
      </c>
    </row>
    <row r="12">
      <c r="A12" t="inlineStr">
        <is>
          <t>Total OpEx</t>
        </is>
      </c>
      <c r="B12" s="8">
        <f>B10+B11</f>
        <v/>
      </c>
      <c r="C12" s="8">
        <f>C10+C11</f>
        <v/>
      </c>
      <c r="D12" s="8">
        <f>C12-B12</f>
        <v/>
      </c>
      <c r="E12" s="9">
        <f>D12/B12</f>
        <v/>
      </c>
    </row>
    <row r="14">
      <c r="A14" t="inlineStr">
        <is>
          <t>OpEx as % of Revenue</t>
        </is>
      </c>
      <c r="B14" s="9">
        <f>B12/B5</f>
        <v/>
      </c>
      <c r="C14" s="9">
        <f>C12/C5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NVIDIA Corporation (NVDA) - Balance Sheet Variance Analysis</t>
        </is>
      </c>
    </row>
    <row r="2">
      <c r="A2" s="2" t="inlineStr">
        <is>
          <t>Q3 FY2026 vs Q2 FY2026</t>
        </is>
      </c>
    </row>
    <row r="4">
      <c r="A4" s="1" t="inlineStr">
        <is>
          <t>Metric</t>
        </is>
      </c>
      <c r="B4" s="3" t="inlineStr">
        <is>
          <t>Q2 FY2026</t>
        </is>
      </c>
      <c r="C4" s="3" t="inlineStr">
        <is>
          <t>Q3 FY2026</t>
        </is>
      </c>
      <c r="D4" s="3" t="inlineStr">
        <is>
          <t>Change ($M)</t>
        </is>
      </c>
      <c r="E4" s="3" t="inlineStr">
        <is>
          <t>Change (%)</t>
        </is>
      </c>
    </row>
    <row r="5">
      <c r="A5" t="inlineStr">
        <is>
          <t>Total Assets</t>
        </is>
      </c>
      <c r="B5" s="4" t="n">
        <v>140740</v>
      </c>
      <c r="C5" s="4" t="n">
        <v>161148</v>
      </c>
      <c r="D5" s="8">
        <f>C5-B5</f>
        <v/>
      </c>
      <c r="E5" s="9">
        <f>D5/B5</f>
        <v/>
      </c>
    </row>
    <row r="6">
      <c r="A6" t="inlineStr">
        <is>
          <t>Total Liabilities</t>
        </is>
      </c>
      <c r="B6" s="4" t="n">
        <v>40609</v>
      </c>
      <c r="C6" s="4" t="n">
        <v>42251</v>
      </c>
      <c r="D6" s="8">
        <f>C6-B6</f>
        <v/>
      </c>
      <c r="E6" s="9">
        <f>D6/B6</f>
        <v/>
      </c>
    </row>
    <row r="7">
      <c r="A7" t="inlineStr">
        <is>
          <t>Stockholders' Equity</t>
        </is>
      </c>
      <c r="B7" s="4" t="n">
        <v>100131</v>
      </c>
      <c r="C7" s="4" t="n">
        <v>118897</v>
      </c>
      <c r="D7" s="8">
        <f>C7-B7</f>
        <v/>
      </c>
      <c r="E7" s="9">
        <f>D7/B7</f>
        <v/>
      </c>
    </row>
    <row r="9">
      <c r="A9" s="7" t="inlineStr">
        <is>
          <t>Debt-to-Equity Ratio</t>
        </is>
      </c>
      <c r="B9" s="11">
        <f>B6/B7</f>
        <v/>
      </c>
      <c r="C9" s="11">
        <f>C6/C7</f>
        <v/>
      </c>
    </row>
    <row r="11">
      <c r="A11" s="7" t="inlineStr">
        <is>
          <t>Cash &amp; Cash Equivalents</t>
        </is>
      </c>
      <c r="B11" s="4" t="n">
        <v>11639</v>
      </c>
      <c r="C11" s="4" t="n">
        <v>11486</v>
      </c>
      <c r="D11" s="8">
        <f>C11-B11</f>
        <v/>
      </c>
      <c r="E11" s="9">
        <f>D11/B11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NVIDIA Corporation (NVDA) - Earnings Variance Analysis</t>
        </is>
      </c>
    </row>
    <row r="2">
      <c r="A2" s="2" t="inlineStr">
        <is>
          <t>Q3 FY2026 vs Q2 FY2026</t>
        </is>
      </c>
    </row>
    <row r="4">
      <c r="A4" s="1" t="inlineStr">
        <is>
          <t>Earnings Per Share</t>
        </is>
      </c>
    </row>
    <row r="5">
      <c r="A5" t="inlineStr">
        <is>
          <t>Diluted EPS - Q2 FY2026</t>
        </is>
      </c>
      <c r="B5" s="12" t="n">
        <v>1.08</v>
      </c>
    </row>
    <row r="6">
      <c r="A6" t="inlineStr">
        <is>
          <t>Diluted EPS - Q3 FY2026</t>
        </is>
      </c>
      <c r="B6" s="12" t="n">
        <v>1.3</v>
      </c>
    </row>
    <row r="7">
      <c r="A7" t="inlineStr">
        <is>
          <t>Sequential Change ($)</t>
        </is>
      </c>
      <c r="B7" s="13">
        <f>B6-B5</f>
        <v/>
      </c>
    </row>
    <row r="8">
      <c r="A8" t="inlineStr">
        <is>
          <t>Sequential Change (%)</t>
        </is>
      </c>
      <c r="B8" s="6">
        <f>B7/B5</f>
        <v/>
      </c>
    </row>
    <row r="10">
      <c r="A10" s="7" t="inlineStr">
        <is>
          <t>Full-Year FY2026 Diluted EPS</t>
        </is>
      </c>
      <c r="B10" s="12" t="n">
        <v>4.9</v>
      </c>
    </row>
    <row r="11">
      <c r="A11" t="inlineStr">
        <is>
          <t>Implied Q1 2026 EPS</t>
        </is>
      </c>
      <c r="B11" s="13">
        <f>B10-B6-B5</f>
        <v/>
      </c>
    </row>
    <row r="13">
      <c r="A13" s="7" t="inlineStr">
        <is>
          <t>Net Income Margin Analysis</t>
        </is>
      </c>
    </row>
    <row r="14">
      <c r="A14" t="inlineStr">
        <is>
          <t>Q2 FY2026 Net Income</t>
        </is>
      </c>
      <c r="B14" s="4" t="n">
        <v>45197</v>
      </c>
    </row>
    <row r="15">
      <c r="A15" t="inlineStr">
        <is>
          <t>Q2 FY2026 Revenue</t>
        </is>
      </c>
      <c r="B15" s="4" t="n">
        <v>46743</v>
      </c>
    </row>
    <row r="16">
      <c r="A16" t="inlineStr">
        <is>
          <t>Q2 Net Margin</t>
        </is>
      </c>
      <c r="B16" s="6">
        <f>B14/B15</f>
        <v/>
      </c>
    </row>
    <row r="17">
      <c r="A17" t="inlineStr">
        <is>
          <t>Q3 FY2026 Net Income</t>
        </is>
      </c>
      <c r="B17" s="4" t="n">
        <v>31910</v>
      </c>
    </row>
    <row r="18">
      <c r="A18" t="inlineStr">
        <is>
          <t>Q3 FY2026 Revenue</t>
        </is>
      </c>
      <c r="B18" s="4" t="n">
        <v>57006</v>
      </c>
    </row>
    <row r="19">
      <c r="A19" t="inlineStr">
        <is>
          <t>Q3 Net Margin</t>
        </is>
      </c>
      <c r="B19" s="6">
        <f>B17/B18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NVIDIA Corporation (NVDA) - Executive Summary Dashboard</t>
        </is>
      </c>
    </row>
    <row r="2">
      <c r="A2" s="2" t="inlineStr">
        <is>
          <t>Q3 FY2026 vs Q2 FY2026 Key Metrics</t>
        </is>
      </c>
    </row>
    <row r="4">
      <c r="A4" s="1" t="inlineStr">
        <is>
          <t>Key Metric</t>
        </is>
      </c>
      <c r="B4" s="3" t="inlineStr">
        <is>
          <t>Q2 FY2026</t>
        </is>
      </c>
      <c r="C4" s="3" t="inlineStr">
        <is>
          <t>Q3 FY2026</t>
        </is>
      </c>
      <c r="D4" s="3" t="inlineStr">
        <is>
          <t>Variance ($M)</t>
        </is>
      </c>
    </row>
    <row r="5">
      <c r="A5" t="inlineStr">
        <is>
          <t>Revenue</t>
        </is>
      </c>
      <c r="B5" s="8" t="n">
        <v>46743</v>
      </c>
      <c r="C5" s="8" t="n">
        <v>57006</v>
      </c>
      <c r="D5" s="8">
        <f>C5-B5</f>
        <v/>
      </c>
    </row>
    <row r="6">
      <c r="A6" t="inlineStr">
        <is>
          <t>Gross Profit</t>
        </is>
      </c>
      <c r="B6" s="8" t="n">
        <v>33853</v>
      </c>
      <c r="C6" s="8" t="n">
        <v>41849</v>
      </c>
      <c r="D6" s="8">
        <f>C6-B6</f>
        <v/>
      </c>
    </row>
    <row r="7">
      <c r="A7" t="inlineStr">
        <is>
          <t>Operating Income</t>
        </is>
      </c>
      <c r="B7" s="8" t="n">
        <v>28440</v>
      </c>
      <c r="C7" s="8" t="n">
        <v>36010</v>
      </c>
      <c r="D7" s="8">
        <f>C7-B7</f>
        <v/>
      </c>
    </row>
    <row r="8">
      <c r="A8" t="inlineStr">
        <is>
          <t>Net Income</t>
        </is>
      </c>
      <c r="B8" s="8" t="n">
        <v>45197</v>
      </c>
      <c r="C8" s="8" t="n">
        <v>31910</v>
      </c>
      <c r="D8" s="8">
        <f>C8-B8</f>
        <v/>
      </c>
    </row>
    <row r="9">
      <c r="A9" t="inlineStr">
        <is>
          <t>Diluted EPS ($)</t>
        </is>
      </c>
      <c r="B9" s="14" t="n">
        <v>1.08</v>
      </c>
      <c r="C9" s="14" t="n">
        <v>1.3</v>
      </c>
      <c r="D9" s="14">
        <f>C9-B9</f>
        <v/>
      </c>
    </row>
    <row r="11">
      <c r="A11" s="1" t="inlineStr">
        <is>
          <t>Margin Metrics</t>
        </is>
      </c>
      <c r="B11" s="3" t="inlineStr">
        <is>
          <t>Q2 FY2026</t>
        </is>
      </c>
      <c r="C11" s="3" t="inlineStr">
        <is>
          <t>Q3 FY2026</t>
        </is>
      </c>
    </row>
    <row r="12">
      <c r="A12" t="inlineStr">
        <is>
          <t>Gross Margin</t>
        </is>
      </c>
      <c r="B12" s="9">
        <f>B6/B5</f>
        <v/>
      </c>
      <c r="C12" s="9">
        <f>C6/C5</f>
        <v/>
      </c>
    </row>
    <row r="13">
      <c r="A13" t="inlineStr">
        <is>
          <t>Operating Margin</t>
        </is>
      </c>
      <c r="B13" s="9">
        <f>B7/B5</f>
        <v/>
      </c>
      <c r="C13" s="9">
        <f>C7/C5</f>
        <v/>
      </c>
    </row>
    <row r="14">
      <c r="A14" t="inlineStr">
        <is>
          <t>Net Margin</t>
        </is>
      </c>
      <c r="B14" s="9">
        <f>B8/B5</f>
        <v/>
      </c>
      <c r="C14" s="9">
        <f>C8/C5</f>
        <v/>
      </c>
    </row>
    <row r="16">
      <c r="A16" s="1" t="inlineStr">
        <is>
          <t>Balance Sheet Metrics</t>
        </is>
      </c>
      <c r="B16" s="3" t="inlineStr">
        <is>
          <t>Q2 FY2026</t>
        </is>
      </c>
      <c r="C16" s="3" t="inlineStr">
        <is>
          <t>Q3 FY2026</t>
        </is>
      </c>
    </row>
    <row r="17">
      <c r="A17" t="inlineStr">
        <is>
          <t>Total Assets</t>
        </is>
      </c>
      <c r="B17" s="8" t="n">
        <v>140740</v>
      </c>
      <c r="C17" s="8" t="n">
        <v>161148</v>
      </c>
    </row>
    <row r="18">
      <c r="A18" t="inlineStr">
        <is>
          <t>Stockholders' Equity</t>
        </is>
      </c>
      <c r="B18" s="8" t="n">
        <v>100131</v>
      </c>
      <c r="C18" s="8" t="n">
        <v>118897</v>
      </c>
    </row>
    <row r="19">
      <c r="A19" t="inlineStr">
        <is>
          <t>Cash &amp; Cash Equivalents</t>
        </is>
      </c>
      <c r="B19" s="8" t="n">
        <v>11639</v>
      </c>
      <c r="C19" s="8" t="n">
        <v>11486</v>
      </c>
    </row>
    <row r="21">
      <c r="A21" s="7" t="inlineStr">
        <is>
          <t>Largest Income Statement Variances ($M)</t>
        </is>
      </c>
    </row>
    <row r="22">
      <c r="A22" t="inlineStr">
        <is>
          <t>1. Revenue: $10,263M increase Q/Q</t>
        </is>
      </c>
    </row>
    <row r="23">
      <c r="A23" t="inlineStr">
        <is>
          <t>2. Gross Profit: $7,996M increase Q/Q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2026-05-13T18:10:41Z</dcterms:created>
  <dcterms:modified xmlns:dcterms="http://purl.org/dc/terms/" xmlns:xsi="http://www.w3.org/2001/XMLSchema-instance" xsi:type="dcterms:W3CDTF">2026-05-13T18:10:41Z</dcterms:modified>
</cp:coreProperties>
</file>