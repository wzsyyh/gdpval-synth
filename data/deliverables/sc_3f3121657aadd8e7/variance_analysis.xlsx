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Variance Analysi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4">
    <numFmt numFmtId="164" formatCode="_($* #,##0.0,,_)"/>
    <numFmt numFmtId="165" formatCode="$#,##0.00"/>
    <numFmt numFmtId="166" formatCode="0.0"/>
    <numFmt numFmtId="167" formatCode="0.0%"/>
  </numFmts>
  <fonts count="4">
    <font>
      <name val="Calibri"/>
      <family val="2"/>
      <color theme="1"/>
      <sz val="11"/>
      <scheme val="minor"/>
    </font>
    <font>
      <name val="Calibri"/>
      <b val="1"/>
      <color rgb="00FFFFFF"/>
      <sz val="11"/>
    </font>
    <font>
      <name val="Calibri"/>
      <i val="1"/>
      <color rgb="00000000"/>
      <sz val="11"/>
    </font>
    <font>
      <name val="Calibri"/>
      <b val="1"/>
      <color rgb="00000000"/>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s>
  <sheetData>
    <row r="1">
      <c r="A1" s="1" t="inlineStr">
        <is>
          <t>Johnson &amp; Johnson (JNJ) - Quarterly Financial Data</t>
        </is>
      </c>
    </row>
    <row r="2">
      <c r="A2" s="2" t="inlineStr">
        <is>
          <t>Source: SEC EDGAR XBRL | CIK: 0000200406</t>
        </is>
      </c>
    </row>
    <row r="4">
      <c r="A4" s="1" t="inlineStr">
        <is>
          <t>Metric</t>
        </is>
      </c>
      <c r="B4" s="1" t="inlineStr">
        <is>
          <t>Q1 2026</t>
        </is>
      </c>
      <c r="C4" s="1" t="inlineStr">
        <is>
          <t>Q3 2025</t>
        </is>
      </c>
      <c r="D4" s="1" t="inlineStr">
        <is>
          <t>Q2 2025</t>
        </is>
      </c>
      <c r="E4" s="1" t="inlineStr">
        <is>
          <t>FY 2025</t>
        </is>
      </c>
    </row>
    <row r="5">
      <c r="A5" s="3" t="inlineStr">
        <is>
          <t>Revenue (excl. Assessed Tax)</t>
        </is>
      </c>
      <c r="B5" s="4" t="n">
        <v>24062000000</v>
      </c>
      <c r="C5" s="4" t="n">
        <v>23993000000</v>
      </c>
      <c r="D5" s="4" t="n">
        <v>45636000000</v>
      </c>
      <c r="E5" s="4" t="n">
        <v>94193000000</v>
      </c>
    </row>
    <row r="6">
      <c r="A6" s="3" t="inlineStr">
        <is>
          <t>Cost of Goods Sold</t>
        </is>
      </c>
      <c r="B6" s="4" t="n">
        <v>8106000000</v>
      </c>
      <c r="C6" s="4" t="n">
        <v>7303000000</v>
      </c>
      <c r="D6" s="4" t="n">
        <v>14985000000</v>
      </c>
      <c r="E6" s="4" t="n">
        <v>30256000000</v>
      </c>
    </row>
    <row r="7">
      <c r="A7" s="3" t="inlineStr">
        <is>
          <t>Gross Profit</t>
        </is>
      </c>
      <c r="B7" s="4" t="n">
        <v>15956000000</v>
      </c>
      <c r="C7" s="4" t="n">
        <v>16690000000</v>
      </c>
      <c r="D7" s="4" t="n">
        <v>30651000000</v>
      </c>
      <c r="E7" s="4" t="n">
        <v>63937000000</v>
      </c>
    </row>
    <row r="8">
      <c r="A8" s="3" t="inlineStr">
        <is>
          <t>SG&amp;A Expense</t>
        </is>
      </c>
      <c r="B8" s="4" t="n">
        <v>6034000000</v>
      </c>
      <c r="C8" s="4" t="n">
        <v>5922000000</v>
      </c>
      <c r="D8" s="4" t="n">
        <v>11001000000</v>
      </c>
      <c r="E8" s="4" t="n">
        <v>23676000000</v>
      </c>
    </row>
    <row r="9">
      <c r="A9" s="3" t="inlineStr">
        <is>
          <t>Net Income</t>
        </is>
      </c>
      <c r="B9" s="4" t="n">
        <v>5235000000</v>
      </c>
      <c r="C9" s="4" t="n">
        <v>5152000000</v>
      </c>
      <c r="D9" s="4" t="n">
        <v>16536000000</v>
      </c>
      <c r="E9" s="4" t="n">
        <v>26804000000</v>
      </c>
    </row>
    <row r="10">
      <c r="A10" s="3" t="inlineStr">
        <is>
          <t>EPS (Diluted)</t>
        </is>
      </c>
      <c r="B10" s="5" t="n">
        <v>2.14</v>
      </c>
      <c r="C10" s="5" t="n">
        <v>2.12</v>
      </c>
      <c r="D10" s="5" t="n">
        <v>6.82</v>
      </c>
      <c r="E10" s="5" t="n">
        <v>11.03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8" customWidth="1" min="6" max="6"/>
    <col width="18" customWidth="1" min="7" max="7"/>
    <col width="18" customWidth="1" min="8" max="8"/>
  </cols>
  <sheetData>
    <row r="1">
      <c r="A1" s="1" t="inlineStr">
        <is>
          <t>Johnson &amp; Johnson (JNJ) - Variance Analysis: Q1 2026 vs Q3 2025</t>
        </is>
      </c>
    </row>
    <row r="3">
      <c r="A3" s="1" t="inlineStr">
        <is>
          <t>Metric</t>
        </is>
      </c>
      <c r="B3" s="1" t="inlineStr">
        <is>
          <t>Q1 2026</t>
        </is>
      </c>
      <c r="C3" s="1" t="inlineStr">
        <is>
          <t>Q3 2025</t>
        </is>
      </c>
      <c r="D3" s="1" t="inlineStr">
        <is>
          <t>Q/Q Change ($)</t>
        </is>
      </c>
      <c r="E3" s="1" t="inlineStr">
        <is>
          <t>Q/Q Change (%)</t>
        </is>
      </c>
      <c r="F3" s="1" t="inlineStr">
        <is>
          <t>Q1 2026 % of Rev</t>
        </is>
      </c>
      <c r="G3" s="1" t="inlineStr">
        <is>
          <t>Q3 2025 % of Rev</t>
        </is>
      </c>
      <c r="H3" s="1" t="inlineStr">
        <is>
          <t>Margin Diff (pp)</t>
        </is>
      </c>
    </row>
    <row r="4">
      <c r="A4" s="3" t="inlineStr">
        <is>
          <t>Revenue</t>
        </is>
      </c>
      <c r="B4" s="6">
        <f>Data!B5/1000000000</f>
        <v/>
      </c>
      <c r="C4" s="6">
        <f>Data!C5/1000000000</f>
        <v/>
      </c>
      <c r="D4" s="6">
        <f>B4-C4</f>
        <v/>
      </c>
      <c r="E4" s="7">
        <f>D4/C4</f>
        <v/>
      </c>
      <c r="F4" s="7" t="n">
        <v>100</v>
      </c>
      <c r="G4" s="7" t="n">
        <v>100</v>
      </c>
      <c r="H4" s="6" t="n">
        <v>0</v>
      </c>
    </row>
    <row r="5">
      <c r="A5" s="3" t="inlineStr">
        <is>
          <t>COGS</t>
        </is>
      </c>
      <c r="B5" s="6">
        <f>Data!B6/1000000000</f>
        <v/>
      </c>
      <c r="C5" s="6">
        <f>Data!C6/1000000000</f>
        <v/>
      </c>
      <c r="D5" s="6">
        <f>B5-C5</f>
        <v/>
      </c>
      <c r="E5" s="7">
        <f>D5/C5</f>
        <v/>
      </c>
      <c r="F5" s="7">
        <f>Data!B6/Data!B5</f>
        <v/>
      </c>
      <c r="G5" s="7">
        <f>Data!C6/Data!C5</f>
        <v/>
      </c>
      <c r="H5" s="6">
        <f>(F5-G5)*100</f>
        <v/>
      </c>
    </row>
    <row r="6">
      <c r="A6" s="3" t="inlineStr">
        <is>
          <t>Gross Profit</t>
        </is>
      </c>
      <c r="B6" s="6">
        <f>Data!B7/1000000000</f>
        <v/>
      </c>
      <c r="C6" s="6">
        <f>Data!C7/1000000000</f>
        <v/>
      </c>
      <c r="D6" s="6">
        <f>B6-C6</f>
        <v/>
      </c>
      <c r="E6" s="7">
        <f>D6/C6</f>
        <v/>
      </c>
      <c r="F6" s="7">
        <f>Data!B7/Data!B5</f>
        <v/>
      </c>
      <c r="G6" s="7">
        <f>Data!C7/Data!C5</f>
        <v/>
      </c>
      <c r="H6" s="6">
        <f>(F6-G6)*100</f>
        <v/>
      </c>
    </row>
    <row r="7">
      <c r="A7" s="3" t="inlineStr">
        <is>
          <t>SG&amp;A</t>
        </is>
      </c>
      <c r="B7" s="6">
        <f>Data!B8/1000000000</f>
        <v/>
      </c>
      <c r="C7" s="6">
        <f>Data!C8/1000000000</f>
        <v/>
      </c>
      <c r="D7" s="6">
        <f>B7-C7</f>
        <v/>
      </c>
      <c r="E7" s="7">
        <f>D7/C7</f>
        <v/>
      </c>
      <c r="F7" s="7">
        <f>Data!B8/Data!B5</f>
        <v/>
      </c>
      <c r="G7" s="7">
        <f>Data!C8/Data!C5</f>
        <v/>
      </c>
      <c r="H7" s="6">
        <f>(F7-G7)*100</f>
        <v/>
      </c>
    </row>
    <row r="8">
      <c r="A8" s="3" t="inlineStr">
        <is>
          <t>Net Income</t>
        </is>
      </c>
      <c r="B8" s="6">
        <f>Data!B9/1000000000</f>
        <v/>
      </c>
      <c r="C8" s="6">
        <f>Data!C9/1000000000</f>
        <v/>
      </c>
      <c r="D8" s="6">
        <f>B8-C8</f>
        <v/>
      </c>
      <c r="E8" s="7">
        <f>D8/C8</f>
        <v/>
      </c>
      <c r="F8" s="7">
        <f>Data!B9/Data!B5</f>
        <v/>
      </c>
      <c r="G8" s="7">
        <f>Data!C9/Data!C5</f>
        <v/>
      </c>
      <c r="H8" s="6">
        <f>(F8-G8)*100</f>
        <v/>
      </c>
    </row>
    <row r="9">
      <c r="A9" s="3" t="inlineStr">
        <is>
          <t>EPS (Diluted)</t>
        </is>
      </c>
      <c r="B9" s="5">
        <f>Data!B10</f>
        <v/>
      </c>
      <c r="C9" s="5">
        <f>Data!C10</f>
        <v/>
      </c>
      <c r="D9" s="5">
        <f>B9-C9</f>
        <v/>
      </c>
      <c r="E9" s="7">
        <f>D9/C9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60" customWidth="1" min="1" max="1"/>
  </cols>
  <sheetData>
    <row r="1">
      <c r="A1" s="1" t="inlineStr">
        <is>
          <t>Johnson &amp; Johnson Q1 2026 Profitability Variance Summary</t>
        </is>
      </c>
    </row>
    <row r="3">
      <c r="A3" s="3" t="inlineStr">
        <is>
          <t>Key Findings</t>
        </is>
      </c>
    </row>
    <row r="4">
      <c r="A4" s="8" t="inlineStr">
        <is>
          <t>In Q1 2026, Johnson &amp; Johnson reported revenue of $24.1B, essentially flat versus Q3 2025 ($24.0B), representing a marginal 0.3% increase of $0.07B. Despite stable revenue, gross margin deteriorated meaningfully, declining approximately 3.3 percentage points from 69.6% in Q3 2025 to 66.3% in Q1 2026, driven by a 11.0% increase in cost of goods sold ($7.3B to $8.1B) which outpaced revenue growth. This gross margin compression is the most material shift in the quarter and warrants further investigation into product mix, input cost inflation, and manufacturing efficiency. The second notable shift is the SG&amp;A ratio, which increased modestly by 0.4 percentage points from 24.7% in Q3 2025 to 25.1% in Q1 2026, reflecting $0.1B in incremental selling and administrative spend. Net income margin declined 0.5 percentage points from 21.5% to 21.0%, reflecting the combined impact of higher COGS and elevated SG&amp;A, partially offset by relatively stable other income items. Despite margin pressure, diluted EPS of $2.14 was roughly in line with Q3 2025 ($2.12), suggesting share count changes or below-the-line items provided some offset.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2026-05-13T19:06:15Z</dcterms:created>
  <dcterms:modified xmlns:dcterms="http://purl.org/dc/terms/" xmlns:xsi="http://www.w3.org/2001/XMLSchema-instance" xsi:type="dcterms:W3CDTF">2026-05-13T19:06:15Z</dcterms:modified>
</cp:coreProperties>
</file>