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ariance Detail" sheetId="2" state="visible" r:id="rId2"/>
    <sheet xmlns:r="http://schemas.openxmlformats.org/officeDocument/2006/relationships" name="Margin 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_($* #,##0_)"/>
    <numFmt numFmtId="165" formatCode="0.0%"/>
    <numFmt numFmtId="166" formatCode="$0.0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000000"/>
      <sz val="11"/>
    </font>
    <font>
      <name val="Calibri"/>
      <b val="1"/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0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The Coca-Cola Company (KO) - Q1 2026 Quarterly Variance Analysis</t>
        </is>
      </c>
    </row>
    <row r="2">
      <c r="A2" s="2" t="inlineStr">
        <is>
          <t>Prepared by: Corporate FP&amp;A</t>
        </is>
      </c>
    </row>
    <row r="4">
      <c r="A4" s="1" t="inlineStr">
        <is>
          <t>P&amp;L Line Item</t>
        </is>
      </c>
      <c r="B4" s="1" t="inlineStr">
        <is>
          <t>Q1 2025 ($M)</t>
        </is>
      </c>
      <c r="C4" s="1" t="inlineStr">
        <is>
          <t>Q1 2026 ($M)</t>
        </is>
      </c>
      <c r="D4" s="1" t="inlineStr">
        <is>
          <t>Variance ($M)</t>
        </is>
      </c>
      <c r="E4" s="1" t="inlineStr">
        <is>
          <t>Variance (%)</t>
        </is>
      </c>
    </row>
    <row r="5">
      <c r="A5" s="3" t="inlineStr">
        <is>
          <t>Revenue</t>
        </is>
      </c>
      <c r="B5" s="4" t="n">
        <v>11822</v>
      </c>
      <c r="C5" s="4" t="n">
        <v>12472</v>
      </c>
      <c r="D5" s="4">
        <f>C5-B5</f>
        <v/>
      </c>
      <c r="E5" s="5">
        <f>D5/B5</f>
        <v/>
      </c>
    </row>
    <row r="6">
      <c r="A6" s="3" t="inlineStr">
        <is>
          <t>Cost of Goods Sold</t>
        </is>
      </c>
      <c r="B6" s="4" t="n">
        <v>4723</v>
      </c>
      <c r="C6" s="4" t="n">
        <v>4620</v>
      </c>
      <c r="D6" s="4">
        <f>C6-B6</f>
        <v/>
      </c>
      <c r="E6" s="5">
        <f>D6/B6</f>
        <v/>
      </c>
    </row>
    <row r="7">
      <c r="A7" s="3" t="inlineStr">
        <is>
          <t>Gross Profit</t>
        </is>
      </c>
      <c r="B7" s="4" t="n">
        <v>7099</v>
      </c>
      <c r="C7" s="4" t="n">
        <v>7852</v>
      </c>
      <c r="D7" s="4">
        <f>C7-B7</f>
        <v/>
      </c>
      <c r="E7" s="5">
        <f>D7/B7</f>
        <v/>
      </c>
    </row>
    <row r="8">
      <c r="A8" s="3" t="inlineStr">
        <is>
          <t>SG&amp;A Expense</t>
        </is>
      </c>
      <c r="B8" s="4" t="n">
        <v>4199</v>
      </c>
      <c r="C8" s="4" t="n">
        <v>3472</v>
      </c>
      <c r="D8" s="4">
        <f>C8-B8</f>
        <v/>
      </c>
      <c r="E8" s="5">
        <f>D8/B8</f>
        <v/>
      </c>
    </row>
    <row r="9">
      <c r="A9" s="3" t="inlineStr">
        <is>
          <t>Operating Income</t>
        </is>
      </c>
      <c r="B9" s="4" t="n">
        <v>1841</v>
      </c>
      <c r="C9" s="4" t="n">
        <v>4359</v>
      </c>
      <c r="D9" s="4">
        <f>C9-B9</f>
        <v/>
      </c>
      <c r="E9" s="5">
        <f>D9/B9</f>
        <v/>
      </c>
    </row>
    <row r="10">
      <c r="A10" s="3" t="inlineStr">
        <is>
          <t>Net Income</t>
        </is>
      </c>
      <c r="B10" s="4" t="n">
        <v>2271</v>
      </c>
      <c r="C10" s="4" t="n">
        <v>3924</v>
      </c>
      <c r="D10" s="4">
        <f>C10-B10</f>
        <v/>
      </c>
      <c r="E10" s="5">
        <f>D10/B10</f>
        <v/>
      </c>
    </row>
    <row r="11">
      <c r="A11" s="3" t="inlineStr">
        <is>
          <t>Diluted EPS</t>
        </is>
      </c>
      <c r="B11" s="6" t="n">
        <v>0.53</v>
      </c>
      <c r="C11" s="6" t="n">
        <v>0.91</v>
      </c>
      <c r="D11" s="6">
        <f>C11-B11</f>
        <v/>
      </c>
      <c r="E11" s="5">
        <f>D11/B11</f>
        <v/>
      </c>
    </row>
    <row r="13">
      <c r="A13" s="1" t="inlineStr">
        <is>
          <t>Key Assumptions and Sources</t>
        </is>
      </c>
    </row>
    <row r="14">
      <c r="A14" t="inlineStr">
        <is>
          <t>Q1 2025 derived as: FY 2025 total minus Q2 2025 minus Q3 2025 standalone quarter</t>
        </is>
      </c>
    </row>
    <row r="15">
      <c r="A15" t="inlineStr">
        <is>
          <t>FY 2025 Revenue: $47,941M | Q2 2025 Revenue: $23,664M | Q3 2025 Revenue: $12,455M</t>
        </is>
      </c>
    </row>
    <row r="16">
      <c r="A16" t="inlineStr">
        <is>
          <t>FY 2025 COGS: $18,397M | Q2 2025 COGS: $8,877M | Q3 2025 COGS: $4,797M</t>
        </is>
      </c>
    </row>
    <row r="17">
      <c r="A17" t="inlineStr">
        <is>
          <t>FY 2025 Gross Profit: $29,544M | Q2 2025 GP: $14,787M | Q3 2025 GP: $7,658M</t>
        </is>
      </c>
    </row>
    <row r="18">
      <c r="A18" t="inlineStr">
        <is>
          <t>FY 2025 SG&amp;A: $14,521M | Q2 2025 SG&amp;A: $6,704M | Q3 2025 SG&amp;A: $3,618M</t>
        </is>
      </c>
    </row>
    <row r="19">
      <c r="A19" t="inlineStr">
        <is>
          <t>FY 2025 Operating Income: $13,762M | Q2 2025 OI: $7,939M | Q3 2025 OI: $3,982M</t>
        </is>
      </c>
    </row>
    <row r="20">
      <c r="A20" t="inlineStr">
        <is>
          <t>FY 2025 Net Income: $13,107M | Q2 2025 NI: $7,140M | Q3 2025 NI: $3,696M</t>
        </is>
      </c>
    </row>
    <row r="21">
      <c r="A21" t="inlineStr">
        <is>
          <t>FY 2025 EPS: $3.04 | Q2 2025 EPS: $1.65 | Q3 2025 EPS: $0.86</t>
        </is>
      </c>
    </row>
    <row r="23">
      <c r="A23" s="1" t="inlineStr">
        <is>
          <t>Commentary - Two Most Significant Variance Drivers</t>
        </is>
      </c>
    </row>
    <row r="24">
      <c r="A24" t="inlineStr">
        <is>
          <t>1. Operating Income increased $2,518M (136.8% YoY), the largest absolute dollar variance. This was driven by a combination of $753M gross profit improvement and a $727M reduction in SG&amp;A expense, reflecting effective cost management.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8" customWidth="1" min="3" max="3"/>
    <col width="18" customWidth="1" min="4" max="4"/>
    <col width="28" customWidth="1" min="5" max="5"/>
  </cols>
  <sheetData>
    <row r="1">
      <c r="A1" s="1" t="inlineStr">
        <is>
          <t>Variance Detail - Q1 2026 vs Q1 2025</t>
        </is>
      </c>
    </row>
    <row r="3">
      <c r="A3" s="1" t="inlineStr">
        <is>
          <t>P&amp;L Line Item</t>
        </is>
      </c>
      <c r="B3" s="1" t="inlineStr">
        <is>
          <t>Dollar Variance ($M)</t>
        </is>
      </c>
      <c r="C3" s="1" t="inlineStr">
        <is>
          <t>Direction</t>
        </is>
      </c>
      <c r="D3" s="1" t="inlineStr">
        <is>
          <t>% Variance</t>
        </is>
      </c>
      <c r="E3" s="1" t="inlineStr">
        <is>
          <t>Variance as % of Q1 2026 Revenue</t>
        </is>
      </c>
    </row>
    <row r="4">
      <c r="A4" t="inlineStr">
        <is>
          <t>Revenue</t>
        </is>
      </c>
      <c r="B4" s="4">
        <f>Summary!D5</f>
        <v/>
      </c>
      <c r="C4">
        <f>IF(B4&gt;0,"Favorable","Unfavorable")</f>
        <v/>
      </c>
      <c r="D4" s="5">
        <f>Summary!E5</f>
        <v/>
      </c>
      <c r="E4" s="5">
        <f>B4/Summary!C5</f>
        <v/>
      </c>
    </row>
    <row r="5">
      <c r="A5" t="inlineStr">
        <is>
          <t>Cost of Goods Sold</t>
        </is>
      </c>
      <c r="B5" s="4">
        <f>Summary!D6</f>
        <v/>
      </c>
      <c r="C5">
        <f>IF(B5&lt;0,"Favorable","Unfavorable")</f>
        <v/>
      </c>
      <c r="D5" s="5">
        <f>Summary!E6</f>
        <v/>
      </c>
      <c r="E5" s="5">
        <f>B5/Summary!C5</f>
        <v/>
      </c>
    </row>
    <row r="6">
      <c r="A6" t="inlineStr">
        <is>
          <t>Gross Profit</t>
        </is>
      </c>
      <c r="B6" s="4">
        <f>Summary!D7</f>
        <v/>
      </c>
      <c r="C6">
        <f>IF(B6&gt;0,"Favorable","Unfavorable")</f>
        <v/>
      </c>
      <c r="D6" s="5">
        <f>Summary!E7</f>
        <v/>
      </c>
      <c r="E6" s="5">
        <f>B6/Summary!C5</f>
        <v/>
      </c>
    </row>
    <row r="7">
      <c r="A7" t="inlineStr">
        <is>
          <t>SG&amp;A Expense</t>
        </is>
      </c>
      <c r="B7" s="4">
        <f>Summary!D8</f>
        <v/>
      </c>
      <c r="C7">
        <f>IF(B7&lt;0,"Favorable","Unfavorable")</f>
        <v/>
      </c>
      <c r="D7" s="5">
        <f>Summary!E8</f>
        <v/>
      </c>
      <c r="E7" s="5">
        <f>B7/Summary!C5</f>
        <v/>
      </c>
    </row>
    <row r="8">
      <c r="A8" t="inlineStr">
        <is>
          <t>Operating Income</t>
        </is>
      </c>
      <c r="B8" s="4">
        <f>Summary!D9</f>
        <v/>
      </c>
      <c r="C8">
        <f>IF(B8&gt;0,"Favorable","Unfavorable")</f>
        <v/>
      </c>
      <c r="D8" s="5">
        <f>Summary!E9</f>
        <v/>
      </c>
      <c r="E8" s="5">
        <f>B8/Summary!C5</f>
        <v/>
      </c>
    </row>
    <row r="9">
      <c r="A9" t="inlineStr">
        <is>
          <t>Net Income</t>
        </is>
      </c>
      <c r="B9" s="4">
        <f>Summary!D10</f>
        <v/>
      </c>
      <c r="C9">
        <f>IF(B9&gt;0,"Favorable","Unfavorable")</f>
        <v/>
      </c>
      <c r="D9" s="5">
        <f>Summary!E10</f>
        <v/>
      </c>
      <c r="E9" s="5">
        <f>B9/Summary!C5</f>
        <v/>
      </c>
    </row>
    <row r="10">
      <c r="A10" t="inlineStr">
        <is>
          <t>Diluted EPS</t>
        </is>
      </c>
      <c r="B10" s="6">
        <f>Summary!D11</f>
        <v/>
      </c>
      <c r="C10">
        <f>IF(B10&gt;0,"Favorable","Unfavorable")</f>
        <v/>
      </c>
      <c r="D10" s="5">
        <f>Summary!E11</f>
        <v/>
      </c>
      <c r="E10" s="5">
        <f>B10/Summary!C5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2" customWidth="1" min="4" max="4"/>
    <col width="22" customWidth="1" min="5" max="5"/>
  </cols>
  <sheetData>
    <row r="1">
      <c r="A1" s="1" t="inlineStr">
        <is>
          <t>Margin Analysis - Q1 2026 vs Q1 2025</t>
        </is>
      </c>
    </row>
    <row r="3">
      <c r="A3" s="1" t="inlineStr">
        <is>
          <t>Margin Metric</t>
        </is>
      </c>
      <c r="B3" s="1" t="inlineStr">
        <is>
          <t>Q1 2025</t>
        </is>
      </c>
      <c r="C3" s="1" t="inlineStr">
        <is>
          <t>Q1 2026</t>
        </is>
      </c>
      <c r="D3" s="1" t="inlineStr">
        <is>
          <t>Change (pp)</t>
        </is>
      </c>
      <c r="E3" s="1" t="inlineStr">
        <is>
          <t>Change (bps)</t>
        </is>
      </c>
    </row>
    <row r="4">
      <c r="A4" s="3" t="inlineStr">
        <is>
          <t>Gross Margin</t>
        </is>
      </c>
      <c r="B4" s="7">
        <f>Summary!B7/Summary!B5</f>
        <v/>
      </c>
      <c r="C4" s="7">
        <f>Summary!C7/Summary!C5</f>
        <v/>
      </c>
      <c r="D4" s="7">
        <f>C4-B4</f>
        <v/>
      </c>
      <c r="E4" s="8">
        <f>D4*10000</f>
        <v/>
      </c>
    </row>
    <row r="5">
      <c r="A5" s="3" t="inlineStr">
        <is>
          <t>Operating Margin</t>
        </is>
      </c>
      <c r="B5" s="7">
        <f>Summary!B9/Summary!B5</f>
        <v/>
      </c>
      <c r="C5" s="7">
        <f>Summary!C9/Summary!C5</f>
        <v/>
      </c>
      <c r="D5" s="7">
        <f>C5-B5</f>
        <v/>
      </c>
      <c r="E5" s="8">
        <f>D5*10000</f>
        <v/>
      </c>
    </row>
    <row r="6">
      <c r="A6" s="3" t="inlineStr">
        <is>
          <t>Net Margin</t>
        </is>
      </c>
      <c r="B6" s="7">
        <f>Summary!B10/Summary!B5</f>
        <v/>
      </c>
      <c r="C6" s="7">
        <f>Summary!C10/Summary!C5</f>
        <v/>
      </c>
      <c r="D6" s="7">
        <f>C6-B6</f>
        <v/>
      </c>
      <c r="E6" s="8">
        <f>D6*10000</f>
        <v/>
      </c>
    </row>
    <row r="8">
      <c r="A8" s="3" t="inlineStr">
        <is>
          <t>SG&amp;A as % of Revenue</t>
        </is>
      </c>
      <c r="B8" s="7">
        <f>Summary!B8/Summary!B5</f>
        <v/>
      </c>
      <c r="C8" s="7">
        <f>Summary!C8/Summary!C5</f>
        <v/>
      </c>
      <c r="D8" s="7">
        <f>C8-B8</f>
        <v/>
      </c>
      <c r="E8" s="8">
        <f>D8*10000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2026-05-13T18:07:41Z</dcterms:created>
  <dcterms:modified xmlns:dcterms="http://purl.org/dc/terms/" xmlns:xsi="http://www.w3.org/2001/XMLSchema-instance" xsi:type="dcterms:W3CDTF">2026-05-13T18:07:41Z</dcterms:modified>
</cp:coreProperties>
</file>