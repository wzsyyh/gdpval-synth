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venue Analysis" sheetId="2" state="visible" r:id="rId2"/>
    <sheet xmlns:r="http://schemas.openxmlformats.org/officeDocument/2006/relationships" name="Profitability Metrics" sheetId="3" state="visible" r:id="rId3"/>
    <sheet xmlns:r="http://schemas.openxmlformats.org/officeDocument/2006/relationships" name="Balance Sheet Revie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#,##0.000"/>
  </numFmts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0" fontId="1" fillId="3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22" customWidth="1" min="3" max="3"/>
    <col width="16" customWidth="1" min="4" max="4"/>
    <col width="16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ExxonMobil Q1 2026 Quarterly Performance Review</t>
        </is>
      </c>
    </row>
    <row r="3">
      <c r="A3" s="2" t="inlineStr">
        <is>
          <t>Metric</t>
        </is>
      </c>
      <c r="B3" s="2" t="inlineStr">
        <is>
          <t>Q1 2026</t>
        </is>
      </c>
      <c r="C3" s="2" t="inlineStr">
        <is>
          <t>FY 2025 Quarterly Avg</t>
        </is>
      </c>
      <c r="D3" s="2" t="inlineStr">
        <is>
          <t>Variance ($)</t>
        </is>
      </c>
      <c r="E3" s="2" t="inlineStr">
        <is>
          <t>Variance (%)</t>
        </is>
      </c>
      <c r="F3" s="2" t="inlineStr">
        <is>
          <t>Q3 2025</t>
        </is>
      </c>
      <c r="G3" s="2" t="inlineStr">
        <is>
          <t>Variance vs Q3 ($)</t>
        </is>
      </c>
      <c r="H3" s="2" t="inlineStr">
        <is>
          <t>Variance vs Q3 (%)</t>
        </is>
      </c>
    </row>
    <row r="4">
      <c r="A4" t="inlineStr">
        <is>
          <t>Revenue ($B)</t>
        </is>
      </c>
      <c r="B4" s="3" t="n">
        <v>85.09999999999999</v>
      </c>
      <c r="C4" s="3">
        <f>332.238/4</f>
        <v/>
      </c>
      <c r="D4" s="3">
        <f>B4-C4</f>
        <v/>
      </c>
      <c r="E4" s="4">
        <f>D4/C4</f>
        <v/>
      </c>
      <c r="F4" s="3" t="n">
        <v>85.3</v>
      </c>
      <c r="G4" s="3">
        <f>B4-F4</f>
        <v/>
      </c>
      <c r="H4" s="4">
        <f>G4/F4</f>
        <v/>
      </c>
    </row>
    <row r="5">
      <c r="A5" t="inlineStr">
        <is>
          <t>Net Income ($B)</t>
        </is>
      </c>
      <c r="B5" s="3" t="n">
        <v>4.183</v>
      </c>
      <c r="C5" s="3">
        <f>28.844/4</f>
        <v/>
      </c>
      <c r="D5" s="3">
        <f>B5-C5</f>
        <v/>
      </c>
      <c r="E5" s="4">
        <f>D5/C5</f>
        <v/>
      </c>
      <c r="F5" s="3" t="n">
        <v>7.548</v>
      </c>
      <c r="G5" s="3">
        <f>B5-F5</f>
        <v/>
      </c>
      <c r="H5" s="4">
        <f>G5/F5</f>
        <v/>
      </c>
    </row>
    <row r="6">
      <c r="A6" t="inlineStr">
        <is>
          <t>Diluted EPS ($)</t>
        </is>
      </c>
      <c r="B6" s="5" t="n">
        <v>1</v>
      </c>
      <c r="C6" s="5">
        <f>6.7/4</f>
        <v/>
      </c>
      <c r="D6" s="5">
        <f>B6-C6</f>
        <v/>
      </c>
      <c r="E6" s="4">
        <f>D6/C6</f>
        <v/>
      </c>
      <c r="F6" s="5" t="n">
        <v>1.76</v>
      </c>
      <c r="G6" s="5">
        <f>B6-F6</f>
        <v/>
      </c>
      <c r="H6" s="4">
        <f>G6/F6</f>
        <v/>
      </c>
    </row>
    <row r="7">
      <c r="A7" t="inlineStr">
        <is>
          <t>Total Assets ($B)</t>
        </is>
      </c>
      <c r="B7" s="3" t="n">
        <v>464.41</v>
      </c>
      <c r="C7" s="3" t="n">
        <v>448.98</v>
      </c>
      <c r="D7" s="3">
        <f>B7-C7</f>
        <v/>
      </c>
      <c r="E7" s="4">
        <f>D7/C7</f>
        <v/>
      </c>
      <c r="F7" s="3" t="n">
        <v>454.34</v>
      </c>
      <c r="G7" s="3">
        <f>B7-F7</f>
        <v/>
      </c>
      <c r="H7" s="4">
        <f>G7/F7</f>
        <v/>
      </c>
    </row>
    <row r="8">
      <c r="A8" t="inlineStr">
        <is>
          <t>Cash ($B)</t>
        </is>
      </c>
      <c r="B8" s="3" t="n">
        <v>8.435</v>
      </c>
      <c r="C8" s="3" t="n">
        <v>10.681</v>
      </c>
      <c r="D8" s="3">
        <f>B8-C8</f>
        <v/>
      </c>
      <c r="E8" s="4">
        <f>D8/C8</f>
        <v/>
      </c>
      <c r="F8" s="3" t="n">
        <v>13.814</v>
      </c>
      <c r="G8" s="3">
        <f>B8-F8</f>
        <v/>
      </c>
      <c r="H8" s="4">
        <f>G8/F8</f>
        <v/>
      </c>
    </row>
    <row r="10">
      <c r="A10" s="1" t="inlineStr">
        <is>
          <t>Notes:</t>
        </is>
      </c>
    </row>
    <row r="11">
      <c r="A11" t="inlineStr">
        <is>
          <t>FY 2025 Quarterly Avg = FY 2025 Total / 4 for Revenue, Net Income, and EPS. Total Assets and Cash compared as period-end balances.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55" customWidth="1" min="1" max="1"/>
    <col width="18" customWidth="1" min="2" max="2"/>
    <col width="20" customWidth="1" min="3" max="3"/>
    <col width="18" customWidth="1" min="4" max="4"/>
  </cols>
  <sheetData>
    <row r="1">
      <c r="A1" s="1" t="inlineStr">
        <is>
          <t>ExxonMobil Quarterly Revenue Trend</t>
        </is>
      </c>
    </row>
    <row r="3">
      <c r="A3" s="2" t="inlineStr">
        <is>
          <t>Quarter</t>
        </is>
      </c>
      <c r="B3" s="2" t="inlineStr">
        <is>
          <t>Revenue ($B)</t>
        </is>
      </c>
      <c r="C3" s="2" t="inlineStr">
        <is>
          <t>QoQ Change ($B)</t>
        </is>
      </c>
      <c r="D3" s="2" t="inlineStr">
        <is>
          <t>QoQ Change (%)</t>
        </is>
      </c>
    </row>
    <row r="4">
      <c r="A4" t="inlineStr">
        <is>
          <t>Q3 2022</t>
        </is>
      </c>
      <c r="B4" s="6" t="n">
        <v>106.512</v>
      </c>
    </row>
    <row r="5">
      <c r="A5" t="inlineStr">
        <is>
          <t>Q1 2023</t>
        </is>
      </c>
      <c r="B5" s="6" t="n">
        <v>83.64400000000001</v>
      </c>
      <c r="C5" s="6">
        <f>B5-B4</f>
        <v/>
      </c>
      <c r="D5" s="4">
        <f>C5/B4</f>
        <v/>
      </c>
    </row>
    <row r="6">
      <c r="A6" t="inlineStr">
        <is>
          <t>Q2 2023</t>
        </is>
      </c>
      <c r="B6" s="6" t="n">
        <v>80.795</v>
      </c>
      <c r="C6" s="6">
        <f>B6-B5</f>
        <v/>
      </c>
      <c r="D6" s="4">
        <f>C6/B5</f>
        <v/>
      </c>
    </row>
    <row r="7">
      <c r="A7" t="inlineStr">
        <is>
          <t>Q3 2025</t>
        </is>
      </c>
      <c r="B7" s="6" t="n">
        <v>85.294</v>
      </c>
    </row>
    <row r="8">
      <c r="A8" t="inlineStr">
        <is>
          <t>Q1 2026</t>
        </is>
      </c>
      <c r="B8" s="6" t="n">
        <v>85.13800000000001</v>
      </c>
      <c r="C8" s="6">
        <f>B8-B7</f>
        <v/>
      </c>
      <c r="D8" s="4">
        <f>C8/B7</f>
        <v/>
      </c>
    </row>
    <row r="10">
      <c r="A10" s="1" t="inlineStr">
        <is>
          <t>Available quarterly revenue data points from XBRL:</t>
        </is>
      </c>
    </row>
    <row r="11">
      <c r="A11" t="inlineStr">
        <is>
          <t>Q3 2022: $106,512M (RevenueFromContractWithCustomerExcludingAssessedTax)</t>
        </is>
      </c>
    </row>
    <row r="12">
      <c r="A12" t="inlineStr">
        <is>
          <t>Q1 2023: $83,644M (RevenueFromContractWithCustomerExcludingAssessedTax)</t>
        </is>
      </c>
    </row>
    <row r="13">
      <c r="A13" t="inlineStr">
        <is>
          <t>Q2 2023: $80,795M (RevenueFromContractWithCustomerExcludingAssessedTax)</t>
        </is>
      </c>
    </row>
    <row r="14">
      <c r="A14" t="inlineStr">
        <is>
          <t>Q3 2025: $85,294M (Revenues quarterly)</t>
        </is>
      </c>
    </row>
    <row r="15">
      <c r="A15" t="inlineStr">
        <is>
          <t>Q1 2026: $85,138M (Revenues)</t>
        </is>
      </c>
    </row>
    <row r="17">
      <c r="A17" t="inlineStr">
        <is>
          <t>Note: QoQ changes shown where sequential quarterly data exists.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8" customWidth="1" min="4" max="4"/>
    <col width="16" customWidth="1" min="5" max="5"/>
  </cols>
  <sheetData>
    <row r="1">
      <c r="A1" s="1" t="inlineStr">
        <is>
          <t>ExxonMobil Profitability Analysis</t>
        </is>
      </c>
    </row>
    <row r="3">
      <c r="A3" s="2" t="inlineStr">
        <is>
          <t>Metric</t>
        </is>
      </c>
      <c r="B3" s="2" t="inlineStr">
        <is>
          <t>Period</t>
        </is>
      </c>
      <c r="C3" s="2" t="inlineStr">
        <is>
          <t>Numerator ($B)</t>
        </is>
      </c>
      <c r="D3" s="2" t="inlineStr">
        <is>
          <t>Denominator ($B)</t>
        </is>
      </c>
      <c r="E3" s="2" t="inlineStr">
        <is>
          <t>Result</t>
        </is>
      </c>
    </row>
    <row r="4">
      <c r="A4" t="inlineStr">
        <is>
          <t>Net Income Margin</t>
        </is>
      </c>
      <c r="B4" t="inlineStr">
        <is>
          <t>Q1 2026</t>
        </is>
      </c>
      <c r="C4" s="6" t="n">
        <v>4.183</v>
      </c>
      <c r="D4" s="6" t="n">
        <v>85.13800000000001</v>
      </c>
      <c r="E4" s="7">
        <f>C4/D4</f>
        <v/>
      </c>
    </row>
    <row r="5">
      <c r="A5" t="inlineStr">
        <is>
          <t>Net Income Margin</t>
        </is>
      </c>
      <c r="B5" t="inlineStr">
        <is>
          <t>FY 2025</t>
        </is>
      </c>
      <c r="C5" s="6" t="n">
        <v>28.844</v>
      </c>
      <c r="D5" s="6" t="n">
        <v>332.238</v>
      </c>
      <c r="E5" s="7">
        <f>C5/D5</f>
        <v/>
      </c>
    </row>
    <row r="6">
      <c r="A6" t="inlineStr">
        <is>
          <t>SG&amp;A % of Revenue</t>
        </is>
      </c>
      <c r="B6" t="inlineStr">
        <is>
          <t>Q1 2026</t>
        </is>
      </c>
      <c r="C6" s="6" t="n">
        <v>2.684</v>
      </c>
      <c r="D6" s="6" t="n">
        <v>85.13800000000001</v>
      </c>
      <c r="E6" s="7">
        <f>C6/D6</f>
        <v/>
      </c>
    </row>
    <row r="7">
      <c r="A7" t="inlineStr">
        <is>
          <t>R&amp;D % of Revenue</t>
        </is>
      </c>
      <c r="B7" t="inlineStr">
        <is>
          <t>FY 2025</t>
        </is>
      </c>
      <c r="C7" s="6" t="n">
        <v>1.2</v>
      </c>
      <c r="D7" s="6" t="n">
        <v>332.238</v>
      </c>
      <c r="E7" s="7">
        <f>C7/D7</f>
        <v/>
      </c>
    </row>
    <row r="9">
      <c r="A9" s="1" t="inlineStr">
        <is>
          <t>Data Sources:</t>
        </is>
      </c>
    </row>
    <row r="10">
      <c r="A10" t="inlineStr">
        <is>
          <t>Net Income Q1 2026: $4,183,000,000</t>
        </is>
      </c>
    </row>
    <row r="11">
      <c r="A11" t="inlineStr">
        <is>
          <t>Revenue Q1 2026: $85,138,000,000</t>
        </is>
      </c>
    </row>
    <row r="12">
      <c r="A12" t="inlineStr">
        <is>
          <t>Net Income FY 2025: $28,844,000,000</t>
        </is>
      </c>
    </row>
    <row r="13">
      <c r="A13" t="inlineStr">
        <is>
          <t>Revenue FY 2025: $332,238,000,000</t>
        </is>
      </c>
    </row>
    <row r="14">
      <c r="A14" t="inlineStr">
        <is>
          <t>SG&amp;A Q1 2026: $2,684,000,000</t>
        </is>
      </c>
    </row>
    <row r="15">
      <c r="A15" t="inlineStr">
        <is>
          <t>R&amp;D FY 2025: $1,200,000,000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>
      <c r="A1" s="1" t="inlineStr">
        <is>
          <t>ExxonMobil Balance Sheet Comparison</t>
        </is>
      </c>
    </row>
    <row r="3">
      <c r="A3" s="2" t="inlineStr">
        <is>
          <t>Item</t>
        </is>
      </c>
      <c r="B3" s="2" t="inlineStr">
        <is>
          <t>Q1 2026 ($B)</t>
        </is>
      </c>
      <c r="C3" s="2" t="inlineStr">
        <is>
          <t>FY 2025 ($B)</t>
        </is>
      </c>
      <c r="D3" s="2" t="inlineStr">
        <is>
          <t>Change ($B)</t>
        </is>
      </c>
      <c r="E3" s="2" t="inlineStr">
        <is>
          <t>Change (%)</t>
        </is>
      </c>
    </row>
    <row r="4">
      <c r="A4" t="inlineStr">
        <is>
          <t>Total Assets</t>
        </is>
      </c>
      <c r="B4" s="3" t="n">
        <v>464.41</v>
      </c>
      <c r="C4" s="3" t="n">
        <v>448.98</v>
      </c>
      <c r="D4" s="3">
        <f>B4-C4</f>
        <v/>
      </c>
      <c r="E4" s="4">
        <f>D4/C4</f>
        <v/>
      </c>
    </row>
    <row r="5">
      <c r="A5" t="inlineStr">
        <is>
          <t>Total Liabilities</t>
        </is>
      </c>
      <c r="B5" s="3" t="n">
        <v>203.414</v>
      </c>
      <c r="C5" s="3" t="n">
        <v>182.354</v>
      </c>
      <c r="D5" s="3">
        <f>B5-C5</f>
        <v/>
      </c>
      <c r="E5" s="4">
        <f>D5/C5</f>
        <v/>
      </c>
    </row>
    <row r="6">
      <c r="A6" t="inlineStr">
        <is>
          <t>Stockholders Equity</t>
        </is>
      </c>
      <c r="B6" s="3" t="n">
        <v>254.381</v>
      </c>
      <c r="C6" s="3" t="n">
        <v>259.386</v>
      </c>
      <c r="D6" s="3">
        <f>B6-C6</f>
        <v/>
      </c>
      <c r="E6" s="4">
        <f>D6/C6</f>
        <v/>
      </c>
    </row>
    <row r="7">
      <c r="A7" t="inlineStr">
        <is>
          <t>Cash</t>
        </is>
      </c>
      <c r="B7" s="3" t="n">
        <v>8.435</v>
      </c>
      <c r="C7" s="3" t="n">
        <v>10.681</v>
      </c>
      <c r="D7" s="3">
        <f>B7-C7</f>
        <v/>
      </c>
      <c r="E7" s="4">
        <f>D7/C7</f>
        <v/>
      </c>
    </row>
    <row r="9">
      <c r="A9" s="8" t="inlineStr">
        <is>
          <t>Key Ratios</t>
        </is>
      </c>
    </row>
    <row r="10">
      <c r="A10" t="inlineStr">
        <is>
          <t>Debt-to-Equity Ratio</t>
        </is>
      </c>
      <c r="B10" s="9">
        <f>B5/B6</f>
        <v/>
      </c>
      <c r="C10" s="9">
        <f>C5/C6</f>
        <v/>
      </c>
      <c r="D10" s="9">
        <f>B10-C10</f>
        <v/>
      </c>
    </row>
    <row r="11">
      <c r="A11" t="inlineStr">
        <is>
          <t>Net Debt</t>
        </is>
      </c>
      <c r="B11" s="3">
        <f>B5-B7</f>
        <v/>
      </c>
      <c r="C11" s="3">
        <f>C5-C7</f>
        <v/>
      </c>
      <c r="D11" s="3">
        <f>B11-C11</f>
        <v/>
      </c>
    </row>
    <row r="13">
      <c r="A13" s="1" t="inlineStr">
        <is>
          <t>Notes:</t>
        </is>
      </c>
    </row>
    <row r="14">
      <c r="A14" t="inlineStr">
        <is>
          <t>Debt-to-Equity = Total Liabilities / Stockholders Equity. Net Debt = Total Liabilities - Cash.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2026-05-13T19:07:25Z</dcterms:created>
  <dcterms:modified xmlns:dcterms="http://purl.org/dc/terms/" xmlns:xsi="http://www.w3.org/2001/XMLSchema-instance" xsi:type="dcterms:W3CDTF">2026-05-13T19:07:25Z</dcterms:modified>
</cp:coreProperties>
</file>