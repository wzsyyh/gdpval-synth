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ariance Analysis" sheetId="2" state="visible" r:id="rId2"/>
    <sheet xmlns:r="http://schemas.openxmlformats.org/officeDocument/2006/relationships" name="Margins and Ratio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Caterpillar Inc (CAT) - Raw Financial Data</t>
        </is>
      </c>
    </row>
    <row r="2">
      <c r="A2" s="2" t="inlineStr">
        <is>
          <t>Ticker</t>
        </is>
      </c>
      <c r="B2" t="inlineStr">
        <is>
          <t>CAT</t>
        </is>
      </c>
    </row>
    <row r="3">
      <c r="A3" s="2" t="inlineStr">
        <is>
          <t>CIK</t>
        </is>
      </c>
      <c r="B3" t="inlineStr">
        <is>
          <t>0000018230</t>
        </is>
      </c>
    </row>
    <row r="4">
      <c r="A4" s="2" t="inlineStr">
        <is>
          <t>Sector</t>
        </is>
      </c>
      <c r="B4" t="inlineStr">
        <is>
          <t>industrials</t>
        </is>
      </c>
    </row>
    <row r="6">
      <c r="A6" s="1" t="inlineStr">
        <is>
          <t>Metric</t>
        </is>
      </c>
      <c r="B6" s="1" t="inlineStr">
        <is>
          <t>Q1 2026</t>
        </is>
      </c>
      <c r="C6" s="1" t="inlineStr">
        <is>
          <t>FY 2025</t>
        </is>
      </c>
      <c r="D6" s="1" t="inlineStr">
        <is>
          <t>Q3 2025</t>
        </is>
      </c>
      <c r="E6" s="1" t="inlineStr">
        <is>
          <t>Q2 2025</t>
        </is>
      </c>
    </row>
    <row r="7">
      <c r="A7" t="inlineStr">
        <is>
          <t>Revenue</t>
        </is>
      </c>
      <c r="B7" s="3" t="n">
        <v>17415000000</v>
      </c>
      <c r="C7" s="3" t="n">
        <v>67589000000</v>
      </c>
      <c r="D7" s="3" t="n">
        <v>48456000000</v>
      </c>
    </row>
    <row r="8">
      <c r="A8" t="inlineStr">
        <is>
          <t>Operating Income</t>
        </is>
      </c>
      <c r="B8" s="3" t="n">
        <v>3085000000</v>
      </c>
      <c r="C8" s="3" t="n">
        <v>11151000000</v>
      </c>
      <c r="D8" s="3" t="n">
        <v>8491000000</v>
      </c>
      <c r="E8" s="3" t="n">
        <v>5439000000</v>
      </c>
    </row>
    <row r="9">
      <c r="A9" t="inlineStr">
        <is>
          <t>R&amp;D Expense</t>
        </is>
      </c>
      <c r="B9" s="3" t="n">
        <v>537000000</v>
      </c>
      <c r="C9" s="3" t="n">
        <v>2148000000</v>
      </c>
      <c r="D9" s="3" t="n">
        <v>555000000</v>
      </c>
      <c r="E9" s="3" t="n">
        <v>1031000000</v>
      </c>
    </row>
    <row r="10">
      <c r="A10" t="inlineStr">
        <is>
          <t>SG&amp;A Expense</t>
        </is>
      </c>
      <c r="B10" s="3" t="n">
        <v>1816000000</v>
      </c>
      <c r="C10" s="3" t="n">
        <v>6985000000</v>
      </c>
      <c r="D10" s="3" t="n">
        <v>1822000000</v>
      </c>
      <c r="E10" s="3" t="n">
        <v>3287000000</v>
      </c>
    </row>
    <row r="11">
      <c r="A11" t="inlineStr">
        <is>
          <t>Total Assets</t>
        </is>
      </c>
      <c r="B11" s="3" t="n">
        <v>95550000000</v>
      </c>
      <c r="C11" s="3" t="n">
        <v>98585000000</v>
      </c>
      <c r="D11" s="3" t="n">
        <v>93722000000</v>
      </c>
    </row>
    <row r="12">
      <c r="A12" t="inlineStr">
        <is>
          <t>Total Liabilities</t>
        </is>
      </c>
      <c r="B12" s="3" t="n">
        <v>76890000000</v>
      </c>
      <c r="C12" s="3" t="n">
        <v>77267000000</v>
      </c>
      <c r="D12" s="3" t="n">
        <v>73063000000</v>
      </c>
      <c r="E12" s="3" t="n">
        <v>71662000000</v>
      </c>
    </row>
    <row r="13">
      <c r="A13" t="inlineStr">
        <is>
          <t>Cash and Equivalents</t>
        </is>
      </c>
      <c r="B13" s="3" t="n">
        <v>4072000000</v>
      </c>
      <c r="C13" s="3" t="n">
        <v>9980000000</v>
      </c>
      <c r="D13" s="3" t="n">
        <v>7538000000</v>
      </c>
      <c r="E13" s="3" t="n">
        <v>5442000000</v>
      </c>
    </row>
    <row r="14">
      <c r="A14" t="inlineStr">
        <is>
          <t>EPS Diluted</t>
        </is>
      </c>
      <c r="B14" s="4" t="n">
        <v>5.47</v>
      </c>
      <c r="C14" s="4" t="n">
        <v>18.81</v>
      </c>
      <c r="D14" s="4" t="n">
        <v>4.88</v>
      </c>
      <c r="E14" s="4" t="n">
        <v>8.82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Q1 2026 Variance Analysis</t>
        </is>
      </c>
    </row>
    <row r="3">
      <c r="A3" s="1" t="inlineStr">
        <is>
          <t>Metric</t>
        </is>
      </c>
      <c r="B3" s="1" t="inlineStr">
        <is>
          <t>Q1 2026</t>
        </is>
      </c>
      <c r="C3" s="1" t="inlineStr">
        <is>
          <t>FY25 Qtr Avg</t>
        </is>
      </c>
      <c r="D3" s="1" t="inlineStr">
        <is>
          <t>$ Var vs Avg</t>
        </is>
      </c>
      <c r="E3" s="1" t="inlineStr">
        <is>
          <t>% Var vs Avg</t>
        </is>
      </c>
      <c r="F3" s="1" t="inlineStr">
        <is>
          <t>Q3 2025</t>
        </is>
      </c>
      <c r="G3" s="1" t="inlineStr">
        <is>
          <t>$ Var vs Q3</t>
        </is>
      </c>
      <c r="H3" s="1" t="inlineStr">
        <is>
          <t>% Var vs Q3</t>
        </is>
      </c>
    </row>
    <row r="4">
      <c r="A4" t="inlineStr">
        <is>
          <t>Revenue</t>
        </is>
      </c>
      <c r="B4">
        <f>Inputs!B7</f>
        <v/>
      </c>
      <c r="C4">
        <f>Inputs!C7/4</f>
        <v/>
      </c>
      <c r="D4">
        <f>B4-C4</f>
        <v/>
      </c>
      <c r="E4" s="5">
        <f>D4/C4</f>
        <v/>
      </c>
      <c r="F4">
        <f>Inputs!D7</f>
        <v/>
      </c>
      <c r="G4">
        <f>B4-F4</f>
        <v/>
      </c>
      <c r="H4" s="5">
        <f>G4/F4</f>
        <v/>
      </c>
    </row>
    <row r="5">
      <c r="A5" t="inlineStr">
        <is>
          <t>Operating Income</t>
        </is>
      </c>
      <c r="B5">
        <f>Inputs!B8</f>
        <v/>
      </c>
      <c r="C5">
        <f>Inputs!C8/4</f>
        <v/>
      </c>
      <c r="D5">
        <f>B5-C5</f>
        <v/>
      </c>
      <c r="E5" s="5">
        <f>D5/C5</f>
        <v/>
      </c>
      <c r="F5">
        <f>Inputs!D8</f>
        <v/>
      </c>
      <c r="G5">
        <f>B5-F5</f>
        <v/>
      </c>
      <c r="H5" s="5">
        <f>G5/F5</f>
        <v/>
      </c>
    </row>
    <row r="6">
      <c r="A6" t="inlineStr">
        <is>
          <t>R&amp;D Expense</t>
        </is>
      </c>
      <c r="B6">
        <f>Inputs!B9</f>
        <v/>
      </c>
      <c r="C6">
        <f>Inputs!C9/4</f>
        <v/>
      </c>
      <c r="D6">
        <f>B6-C6</f>
        <v/>
      </c>
      <c r="E6" s="5">
        <f>D6/C6</f>
        <v/>
      </c>
      <c r="F6">
        <f>Inputs!D9</f>
        <v/>
      </c>
      <c r="G6">
        <f>B6-F6</f>
        <v/>
      </c>
      <c r="H6" s="5">
        <f>G6/F6</f>
        <v/>
      </c>
    </row>
    <row r="7">
      <c r="A7" t="inlineStr">
        <is>
          <t>SG&amp;A Expense</t>
        </is>
      </c>
      <c r="B7">
        <f>Inputs!B10</f>
        <v/>
      </c>
      <c r="C7">
        <f>Inputs!C10/4</f>
        <v/>
      </c>
      <c r="D7">
        <f>B7-C7</f>
        <v/>
      </c>
      <c r="E7" s="5">
        <f>D7/C7</f>
        <v/>
      </c>
      <c r="F7">
        <f>Inputs!D10</f>
        <v/>
      </c>
      <c r="G7">
        <f>B7-F7</f>
        <v/>
      </c>
      <c r="H7" s="5">
        <f>G7/F7</f>
        <v/>
      </c>
    </row>
    <row r="8">
      <c r="A8" t="inlineStr">
        <is>
          <t>Total Assets</t>
        </is>
      </c>
      <c r="B8">
        <f>Inputs!B11</f>
        <v/>
      </c>
      <c r="C8">
        <f>Inputs!C11/4</f>
        <v/>
      </c>
      <c r="D8">
        <f>B8-C8</f>
        <v/>
      </c>
      <c r="E8" s="5">
        <f>D8/C8</f>
        <v/>
      </c>
      <c r="F8">
        <f>Inputs!D11</f>
        <v/>
      </c>
      <c r="G8">
        <f>B8-F8</f>
        <v/>
      </c>
      <c r="H8" s="5">
        <f>G8/F8</f>
        <v/>
      </c>
    </row>
    <row r="9">
      <c r="A9" t="inlineStr">
        <is>
          <t>Total Liabilities</t>
        </is>
      </c>
      <c r="B9">
        <f>Inputs!B12</f>
        <v/>
      </c>
      <c r="C9">
        <f>Inputs!C12/4</f>
        <v/>
      </c>
      <c r="D9">
        <f>B9-C9</f>
        <v/>
      </c>
      <c r="E9" s="5">
        <f>D9/C9</f>
        <v/>
      </c>
      <c r="F9">
        <f>Inputs!D12</f>
        <v/>
      </c>
      <c r="G9">
        <f>B9-F9</f>
        <v/>
      </c>
      <c r="H9" s="5">
        <f>G9/F9</f>
        <v/>
      </c>
    </row>
    <row r="10">
      <c r="A10" t="inlineStr">
        <is>
          <t>Cash and Equivalents</t>
        </is>
      </c>
      <c r="B10">
        <f>Inputs!B13</f>
        <v/>
      </c>
      <c r="C10">
        <f>Inputs!C13/4</f>
        <v/>
      </c>
      <c r="D10">
        <f>B10-C10</f>
        <v/>
      </c>
      <c r="E10" s="5">
        <f>D10/C10</f>
        <v/>
      </c>
      <c r="F10">
        <f>Inputs!D13</f>
        <v/>
      </c>
      <c r="G10">
        <f>B10-F10</f>
        <v/>
      </c>
      <c r="H10" s="5">
        <f>G10/F10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Profitability and Efficiency Ratios</t>
        </is>
      </c>
    </row>
    <row r="3">
      <c r="A3" s="1" t="inlineStr">
        <is>
          <t>Metric</t>
        </is>
      </c>
      <c r="B3" s="1" t="inlineStr">
        <is>
          <t>Q1 2026</t>
        </is>
      </c>
      <c r="C3" s="1" t="inlineStr">
        <is>
          <t>Q3 2025</t>
        </is>
      </c>
    </row>
    <row r="4">
      <c r="A4" t="inlineStr">
        <is>
          <t>Operating Margin</t>
        </is>
      </c>
      <c r="B4" s="5">
        <f>Inputs!B8/Inputs!B7</f>
        <v/>
      </c>
      <c r="C4" s="5">
        <f>Inputs!D8/Inputs!D7</f>
        <v/>
      </c>
    </row>
    <row r="5">
      <c r="A5" t="inlineStr">
        <is>
          <t>R&amp;D Intensity</t>
        </is>
      </c>
      <c r="B5" s="5">
        <f>Inputs!B9/Inputs!B7</f>
        <v/>
      </c>
      <c r="C5" s="5">
        <f>Inputs!D9/Inputs!D7</f>
        <v/>
      </c>
    </row>
    <row r="6">
      <c r="A6" t="inlineStr">
        <is>
          <t>SG&amp;A Intensity</t>
        </is>
      </c>
      <c r="B6" s="5">
        <f>Inputs!B10/Inputs!B7</f>
        <v/>
      </c>
      <c r="C6" s="5">
        <f>Inputs!D10/Inputs!D7</f>
        <v/>
      </c>
    </row>
    <row r="7">
      <c r="A7" t="inlineStr">
        <is>
          <t>Leverage Ratio</t>
        </is>
      </c>
      <c r="B7" s="5">
        <f>Inputs!B12/Inputs!B11</f>
        <v/>
      </c>
      <c r="C7" s="5">
        <f>Inputs!D12/Inputs!D11</f>
        <v/>
      </c>
    </row>
    <row r="8">
      <c r="A8" t="inlineStr">
        <is>
          <t>Cash % of Assets</t>
        </is>
      </c>
      <c r="B8" s="5">
        <f>Inputs!B13/Inputs!B11</f>
        <v/>
      </c>
      <c r="C8" s="5">
        <f>Inputs!D13/Inputs!D11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Executive Summary: CAT Q1 2026 Variance Analysis</t>
        </is>
      </c>
    </row>
    <row r="3">
      <c r="A3" t="inlineStr">
        <is>
          <t>Q1 2026 revenue of $17.4B came in above the FY 2025 quarterly run-rate of $16.9B, representing a positive variance of $0.5B or 2.9%. However, revenue declined 34.5% from Q3 2025 levels of $48.5B, reflecting normal quarterly seasonality. Operating income of $3.1B exceeded the FY 2025 quarterly average by $0.3B, though it fell 63.7% versus Q3 2025's $8.5B. Cash and equivalents declined sharply from $9.98B at FY 2025 year-end to $4.07B in Q1 2026, a notable negative variance of $5.9B or 59.2%. Operating margin held steady at 17.7% in Q1 2026 versus 17.5% in Q3 2025, suggesting resilient profitability. The leverage ratio increased slightly from 78.1% to 80.5%, indicating modest balance sheet pressure. R&amp;D intensity rose from 1.1% to 3.1% quarter-over-quarter, reflecting continued investment in innovation. Based on this analysis, the data supports maintaining the current position but warrants caution on liquidity before increasing exposure.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2026-05-13T18:36:04Z</dcterms:created>
  <dcterms:modified xmlns:dcterms="http://purl.org/dc/terms/" xmlns:xsi="http://www.w3.org/2001/XMLSchema-instance" xsi:type="dcterms:W3CDTF">2026-05-13T18:36:04Z</dcterms:modified>
</cp:coreProperties>
</file>