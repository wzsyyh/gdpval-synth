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atement Variance" sheetId="2" state="visible" r:id="rId2"/>
    <sheet xmlns:r="http://schemas.openxmlformats.org/officeDocument/2006/relationships" name="Balance Sheet Variance" sheetId="3" state="visible" r:id="rId3"/>
    <sheet xmlns:r="http://schemas.openxmlformats.org/officeDocument/2006/relationships" name="Key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Alphabet Inc. (GOOGL) - Quarterly Variance Analysis</t>
        </is>
      </c>
    </row>
    <row r="2">
      <c r="A2" t="inlineStr">
        <is>
          <t>Ticker: GOOGL</t>
        </is>
      </c>
    </row>
    <row r="3">
      <c r="A3" t="inlineStr">
        <is>
          <t>CIK: 0001652044</t>
        </is>
      </c>
    </row>
    <row r="4">
      <c r="A4" t="inlineStr">
        <is>
          <t>Sector: tech_internet</t>
        </is>
      </c>
    </row>
    <row r="5">
      <c r="A5" t="inlineStr">
        <is>
          <t>Reporting Period: Q1 2026</t>
        </is>
      </c>
    </row>
    <row r="7">
      <c r="A7" s="1" t="inlineStr">
        <is>
          <t>Executive Summary</t>
        </is>
      </c>
    </row>
    <row r="8">
      <c r="A8" t="inlineStr">
        <is>
          <t>Alphabet reported Q1 2026 revenue of $109.9 billion, a 21.8% year-over-year increase from Q1 2025 revenue of $90.2 billion. Operating income of $39.7 billion implies a 36.1% operating margin in Q1 2026, compared to FY 2025's 32.0% margin. Net income of $62.6 billion drove diluted EPS of $5.11, while R&amp;D spending of $17.0 billion maintained a 15.5% R&amp;D intensity ratio.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Line Item</t>
        </is>
      </c>
      <c r="B1" s="2" t="inlineStr">
        <is>
          <t>Q1 2026</t>
        </is>
      </c>
      <c r="C1" s="2" t="inlineStr">
        <is>
          <t>Q1 2025</t>
        </is>
      </c>
      <c r="D1" s="2" t="inlineStr">
        <is>
          <t>FY 2025</t>
        </is>
      </c>
      <c r="E1" s="2" t="inlineStr">
        <is>
          <t>YoY Change ($B)</t>
        </is>
      </c>
      <c r="F1" s="2" t="inlineStr">
        <is>
          <t>YoY Change (%)</t>
        </is>
      </c>
      <c r="G1" s="2" t="inlineStr">
        <is>
          <t>Q1 / FY 2025 (%)</t>
        </is>
      </c>
    </row>
    <row r="2">
      <c r="A2" s="1" t="inlineStr">
        <is>
          <t>Revenue</t>
        </is>
      </c>
      <c r="B2" s="3" t="n">
        <v>109.9</v>
      </c>
      <c r="C2" s="3" t="n">
        <v>90.2</v>
      </c>
      <c r="D2" s="3" t="n">
        <v>402.8</v>
      </c>
      <c r="E2" s="3">
        <f>B2-C2</f>
        <v/>
      </c>
      <c r="F2" s="4">
        <f>(B2-C2)/C2</f>
        <v/>
      </c>
      <c r="G2" s="4">
        <f>B2/D2</f>
        <v/>
      </c>
    </row>
    <row r="3">
      <c r="A3" t="inlineStr">
        <is>
          <t>Operating Income</t>
        </is>
      </c>
      <c r="B3" s="3" t="n">
        <v>39.7</v>
      </c>
      <c r="C3" s="5" t="inlineStr">
        <is>
          <t>N/A</t>
        </is>
      </c>
      <c r="D3" s="3" t="n">
        <v>129</v>
      </c>
      <c r="E3" s="5" t="inlineStr">
        <is>
          <t>N/A</t>
        </is>
      </c>
      <c r="F3" s="5" t="inlineStr">
        <is>
          <t>N/A</t>
        </is>
      </c>
      <c r="G3" s="4">
        <f>B3/D3</f>
        <v/>
      </c>
    </row>
    <row r="4">
      <c r="A4" t="inlineStr">
        <is>
          <t>Net Income</t>
        </is>
      </c>
      <c r="B4" s="3" t="n">
        <v>62.6</v>
      </c>
      <c r="C4" s="5" t="inlineStr">
        <is>
          <t>N/A</t>
        </is>
      </c>
      <c r="D4" s="3" t="n">
        <v>132.2</v>
      </c>
      <c r="E4" s="5" t="inlineStr">
        <is>
          <t>N/A</t>
        </is>
      </c>
      <c r="F4" s="5" t="inlineStr">
        <is>
          <t>N/A</t>
        </is>
      </c>
      <c r="G4" s="4">
        <f>B4/D4</f>
        <v/>
      </c>
    </row>
    <row r="5">
      <c r="A5" t="inlineStr">
        <is>
          <t>R&amp;D Expense</t>
        </is>
      </c>
      <c r="B5" s="3" t="n">
        <v>17</v>
      </c>
      <c r="C5" s="5" t="inlineStr">
        <is>
          <t>N/A</t>
        </is>
      </c>
      <c r="D5" s="3" t="n">
        <v>61.1</v>
      </c>
      <c r="E5" s="5" t="inlineStr">
        <is>
          <t>N/A</t>
        </is>
      </c>
      <c r="F5" s="5" t="inlineStr">
        <is>
          <t>N/A</t>
        </is>
      </c>
      <c r="G5" s="4">
        <f>B5/D5</f>
        <v/>
      </c>
    </row>
    <row r="6">
      <c r="A6" t="inlineStr">
        <is>
          <t>Diluted EPS</t>
        </is>
      </c>
      <c r="B6" s="6" t="n">
        <v>5.11</v>
      </c>
      <c r="C6" s="5" t="inlineStr">
        <is>
          <t>N/A</t>
        </is>
      </c>
      <c r="D6" s="6" t="n">
        <v>10.81</v>
      </c>
      <c r="E6" s="5" t="inlineStr">
        <is>
          <t>N/A</t>
        </is>
      </c>
      <c r="F6" s="5" t="inlineStr">
        <is>
          <t>N/A</t>
        </is>
      </c>
      <c r="G6" s="4">
        <f>B6/D6</f>
        <v/>
      </c>
    </row>
    <row r="8">
      <c r="A8" s="1" t="inlineStr">
        <is>
          <t>Operating Margin</t>
        </is>
      </c>
      <c r="B8" s="4">
        <f>B3/B2</f>
        <v/>
      </c>
      <c r="C8" t="inlineStr">
        <is>
          <t>N/A</t>
        </is>
      </c>
      <c r="D8" s="4">
        <f>D3/D2</f>
        <v/>
      </c>
    </row>
    <row r="9">
      <c r="A9" s="1" t="inlineStr">
        <is>
          <t>R&amp;D Intensity</t>
        </is>
      </c>
      <c r="B9" s="4">
        <f>B5/B2</f>
        <v/>
      </c>
      <c r="C9" t="inlineStr">
        <is>
          <t>N/A</t>
        </is>
      </c>
      <c r="D9" s="4">
        <f>D5/D2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</cols>
  <sheetData>
    <row r="1">
      <c r="A1" s="2" t="inlineStr">
        <is>
          <t>Line Item</t>
        </is>
      </c>
      <c r="B1" s="2" t="inlineStr">
        <is>
          <t>Q1 2026</t>
        </is>
      </c>
      <c r="C1" s="2" t="inlineStr">
        <is>
          <t>FY 2025</t>
        </is>
      </c>
      <c r="D1" s="2" t="inlineStr">
        <is>
          <t>Q2 2025</t>
        </is>
      </c>
      <c r="E1" s="2" t="inlineStr">
        <is>
          <t>QoQ Change ($B)</t>
        </is>
      </c>
      <c r="F1" s="2" t="inlineStr">
        <is>
          <t>QoQ Change (%)</t>
        </is>
      </c>
    </row>
    <row r="2">
      <c r="A2" s="1" t="inlineStr">
        <is>
          <t>Total Assets</t>
        </is>
      </c>
      <c r="B2" s="3" t="n">
        <v>703.9</v>
      </c>
      <c r="C2" s="3" t="n">
        <v>595.3</v>
      </c>
      <c r="D2" s="3" t="n">
        <v>502.1</v>
      </c>
      <c r="E2" s="3">
        <f>B2-C2</f>
        <v/>
      </c>
      <c r="F2" s="4">
        <f>(B2-C2)/C2</f>
        <v/>
      </c>
    </row>
    <row r="3">
      <c r="A3" t="inlineStr">
        <is>
          <t>Total Liabilities</t>
        </is>
      </c>
      <c r="B3" s="3" t="n">
        <v>225.2</v>
      </c>
      <c r="C3" s="3" t="n">
        <v>180</v>
      </c>
      <c r="D3" s="3" t="n">
        <v>139.1</v>
      </c>
      <c r="E3" s="3">
        <f>B3-C3</f>
        <v/>
      </c>
      <c r="F3" s="4">
        <f>(B3-C3)/C3</f>
        <v/>
      </c>
    </row>
    <row r="4">
      <c r="A4" t="inlineStr">
        <is>
          <t>Stockholders' Equity</t>
        </is>
      </c>
      <c r="B4" s="3" t="n">
        <v>478.7</v>
      </c>
      <c r="C4" s="3" t="n">
        <v>415.3</v>
      </c>
      <c r="D4" s="3" t="n">
        <v>362.9</v>
      </c>
      <c r="E4" s="3">
        <f>B4-C4</f>
        <v/>
      </c>
      <c r="F4" s="4">
        <f>(B4-C4)/C4</f>
        <v/>
      </c>
    </row>
    <row r="5">
      <c r="A5" t="inlineStr">
        <is>
          <t>Cash &amp; Cash Equivalents</t>
        </is>
      </c>
      <c r="B5" s="3" t="n">
        <v>38.1</v>
      </c>
      <c r="C5" s="3" t="n">
        <v>30.7</v>
      </c>
      <c r="D5" s="3" t="n">
        <v>21</v>
      </c>
      <c r="E5" s="3">
        <f>B5-C5</f>
        <v/>
      </c>
      <c r="F5" s="4">
        <f>(B5-C5)/C5</f>
        <v/>
      </c>
    </row>
    <row r="7">
      <c r="A7" s="1" t="inlineStr">
        <is>
          <t>Debt-to-Equity Ratio</t>
        </is>
      </c>
      <c r="B7" s="7">
        <f>B3/B4</f>
        <v/>
      </c>
      <c r="C7" s="7">
        <f>C3/C4</f>
        <v/>
      </c>
      <c r="D7" s="7">
        <f>D3/D4</f>
        <v/>
      </c>
    </row>
    <row r="8">
      <c r="A8" s="1" t="inlineStr">
        <is>
          <t>Cash as % of Assets</t>
        </is>
      </c>
      <c r="B8" s="4">
        <f>B5/B2</f>
        <v/>
      </c>
      <c r="C8" s="4">
        <f>C5/C2</f>
        <v/>
      </c>
      <c r="D8" s="4">
        <f>D5/D2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Metric</t>
        </is>
      </c>
      <c r="B1" s="2" t="inlineStr">
        <is>
          <t>Q1 2026</t>
        </is>
      </c>
      <c r="C1" s="2" t="inlineStr">
        <is>
          <t>Q3 2025</t>
        </is>
      </c>
      <c r="D1" s="2" t="inlineStr">
        <is>
          <t>Q2 2025</t>
        </is>
      </c>
      <c r="E1" s="2" t="inlineStr">
        <is>
          <t>Q1 2025</t>
        </is>
      </c>
      <c r="F1" s="2" t="inlineStr">
        <is>
          <t>FY 2025</t>
        </is>
      </c>
      <c r="G1" s="2" t="inlineStr">
        <is>
          <t>FY 2024</t>
        </is>
      </c>
    </row>
    <row r="2">
      <c r="A2" s="1" t="inlineStr">
        <is>
          <t>Revenue ($B)</t>
        </is>
      </c>
      <c r="B2" t="n">
        <v>109.9</v>
      </c>
      <c r="C2" t="n">
        <v>102.3</v>
      </c>
      <c r="E2" t="n">
        <v>90.2</v>
      </c>
      <c r="F2" t="n">
        <v>402.8</v>
      </c>
      <c r="G2" t="n">
        <v>350</v>
      </c>
    </row>
    <row r="3">
      <c r="A3" s="1" t="inlineStr">
        <is>
          <t>Operating Margin</t>
        </is>
      </c>
      <c r="B3" s="4">
        <f>39.7/109.9</f>
        <v/>
      </c>
      <c r="C3" s="4">
        <f>31.2/102.3</f>
        <v/>
      </c>
      <c r="D3" t="inlineStr">
        <is>
          <t>N/A</t>
        </is>
      </c>
      <c r="E3" t="inlineStr">
        <is>
          <t>N/A</t>
        </is>
      </c>
      <c r="F3" s="4">
        <f>129.0/402.8</f>
        <v/>
      </c>
      <c r="G3" t="inlineStr">
        <is>
          <t>N/A</t>
        </is>
      </c>
    </row>
    <row r="4">
      <c r="A4" s="1" t="inlineStr">
        <is>
          <t>Net Margin</t>
        </is>
      </c>
      <c r="B4" s="4">
        <f>62.6/109.9</f>
        <v/>
      </c>
      <c r="C4" s="4">
        <f>35.0/102.3</f>
        <v/>
      </c>
      <c r="D4" t="inlineStr">
        <is>
          <t>N/A</t>
        </is>
      </c>
      <c r="E4" t="inlineStr">
        <is>
          <t>N/A</t>
        </is>
      </c>
      <c r="F4" s="4">
        <f>132.2/402.8</f>
        <v/>
      </c>
      <c r="G4" t="inlineStr">
        <is>
          <t>N/A</t>
        </is>
      </c>
    </row>
    <row r="5">
      <c r="A5" s="1" t="inlineStr">
        <is>
          <t>R&amp;D Intensity</t>
        </is>
      </c>
      <c r="B5" s="4">
        <f>17.0/109.9</f>
        <v/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s="4">
        <f>61.1/402.8</f>
        <v/>
      </c>
      <c r="G5" t="inlineStr">
        <is>
          <t>N/A</t>
        </is>
      </c>
    </row>
    <row r="6">
      <c r="A6" s="1" t="inlineStr">
        <is>
          <t>Diluted EPS</t>
        </is>
      </c>
      <c r="B6" t="n">
        <v>5.11</v>
      </c>
      <c r="C6" t="n">
        <v>2.87</v>
      </c>
      <c r="D6" t="n">
        <v>5.12</v>
      </c>
      <c r="E6" t="inlineStr">
        <is>
          <t>N/A</t>
        </is>
      </c>
      <c r="F6" t="n">
        <v>10.81</v>
      </c>
      <c r="G6" t="inlineStr">
        <is>
          <t>N/A</t>
        </is>
      </c>
    </row>
    <row r="8">
      <c r="A8" s="1" t="inlineStr">
        <is>
          <t>Footnotes:</t>
        </is>
      </c>
    </row>
    <row r="9">
      <c r="A9" t="inlineStr">
        <is>
          <t>N/A indicates data not available in seed material for that period.</t>
        </is>
      </c>
    </row>
    <row r="10">
      <c r="A10" t="inlineStr">
        <is>
          <t>Revenue for Q2 2025 not separately reported; only cumulative H1 figure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2026-05-13T18:55:55Z</dcterms:created>
  <dcterms:modified xmlns:dcterms="http://purl.org/dc/terms/" xmlns:xsi="http://www.w3.org/2001/XMLSchema-instance" xsi:type="dcterms:W3CDTF">2026-05-13T18:55:55Z</dcterms:modified>
</cp:coreProperties>
</file>