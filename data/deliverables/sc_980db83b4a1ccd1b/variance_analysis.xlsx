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come Statement Variance" sheetId="2" state="visible" r:id="rId2"/>
    <sheet xmlns:r="http://schemas.openxmlformats.org/officeDocument/2006/relationships" name="Balance Sheet Variance" sheetId="3" state="visible" r:id="rId3"/>
    <sheet xmlns:r="http://schemas.openxmlformats.org/officeDocument/2006/relationships"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UnitedHealth Group Incorporated (UNH) - Financial Data Inputs</t>
        </is>
      </c>
    </row>
    <row r="2">
      <c r="A2" s="2" t="inlineStr">
        <is>
          <t>Source: SEC EDGAR XBRL Filings</t>
        </is>
      </c>
    </row>
    <row r="4">
      <c r="A4" s="1" t="inlineStr">
        <is>
          <t>Line Item</t>
        </is>
      </c>
      <c r="B4" s="3" t="inlineStr">
        <is>
          <t>Q1 2026</t>
        </is>
      </c>
      <c r="C4" s="3" t="inlineStr">
        <is>
          <t>Q3 2025 (Standalone)</t>
        </is>
      </c>
      <c r="D4" s="3" t="inlineStr">
        <is>
          <t>Q2 2025</t>
        </is>
      </c>
      <c r="E4" s="3" t="inlineStr">
        <is>
          <t>FY 2025</t>
        </is>
      </c>
      <c r="F4" s="3" t="inlineStr">
        <is>
          <t>Q3 2025 (YTD)</t>
        </is>
      </c>
    </row>
    <row r="5">
      <c r="A5" s="4" t="inlineStr">
        <is>
          <t>Revenues</t>
        </is>
      </c>
      <c r="B5" s="5" t="n">
        <v>111721000000</v>
      </c>
      <c r="C5" s="5" t="n">
        <v>113161000000</v>
      </c>
      <c r="D5" s="5" t="n">
        <v>221191000000</v>
      </c>
      <c r="E5" s="5" t="n">
        <v>447567000000</v>
      </c>
      <c r="F5" s="5" t="n">
        <v>334352000000</v>
      </c>
    </row>
    <row r="6">
      <c r="A6" s="4" t="inlineStr">
        <is>
          <t>Cost of Goods and Services Sold</t>
        </is>
      </c>
      <c r="B6" s="5" t="n">
        <v>12823000000</v>
      </c>
      <c r="C6" s="5" t="n">
        <v>12566000000</v>
      </c>
      <c r="D6" s="5" t="n">
        <v>25409000000</v>
      </c>
      <c r="E6" s="5" t="n">
        <v>50655000000</v>
      </c>
      <c r="F6" s="5" t="n">
        <v>37975000000</v>
      </c>
    </row>
    <row r="7">
      <c r="A7" s="4" t="inlineStr">
        <is>
          <t>Operating Income</t>
        </is>
      </c>
      <c r="B7" s="5" t="n">
        <v>8990000000</v>
      </c>
      <c r="C7" s="5" t="n">
        <v>4315000000</v>
      </c>
      <c r="D7" s="5" t="n">
        <v>14269000000</v>
      </c>
      <c r="E7" s="5" t="n">
        <v>18964000000</v>
      </c>
      <c r="F7" s="5" t="n">
        <v>18584000000</v>
      </c>
    </row>
    <row r="8">
      <c r="A8" s="4" t="inlineStr">
        <is>
          <t>Net Income</t>
        </is>
      </c>
      <c r="B8" s="5" t="n">
        <v>6280000000</v>
      </c>
      <c r="C8" s="5" t="n">
        <v>2348000000</v>
      </c>
      <c r="D8" s="5" t="n">
        <v>9698000000</v>
      </c>
      <c r="E8" s="5" t="n">
        <v>12056000000</v>
      </c>
      <c r="F8" s="5" t="n">
        <v>12046000000</v>
      </c>
    </row>
    <row r="9">
      <c r="A9" s="4" t="inlineStr">
        <is>
          <t>Total Assets</t>
        </is>
      </c>
      <c r="B9" s="5" t="n">
        <v>312644000000</v>
      </c>
      <c r="D9" s="5" t="n">
        <v>308573000000</v>
      </c>
      <c r="E9" s="5" t="n">
        <v>309581000000</v>
      </c>
      <c r="F9" s="5" t="n">
        <v>315269000000</v>
      </c>
    </row>
    <row r="10">
      <c r="A10" s="4" t="inlineStr">
        <is>
          <t>Total Liabilities</t>
        </is>
      </c>
      <c r="B10" s="5" t="n">
        <v>207325000000</v>
      </c>
      <c r="D10" s="5" t="n">
        <v>203789000000</v>
      </c>
      <c r="E10" s="5" t="n">
        <v>207883000000</v>
      </c>
      <c r="F10" s="5" t="n">
        <v>209456000000</v>
      </c>
    </row>
    <row r="11">
      <c r="A11" s="4" t="inlineStr">
        <is>
          <t>Stockholders' Equity</t>
        </is>
      </c>
    </row>
    <row r="12">
      <c r="A12" s="4" t="inlineStr">
        <is>
          <t>Cash and Cash Equivalents</t>
        </is>
      </c>
      <c r="B12" s="5" t="n">
        <v>28001000000</v>
      </c>
      <c r="D12" s="5" t="n">
        <v>28596000000</v>
      </c>
      <c r="E12" s="5" t="n">
        <v>24365000000</v>
      </c>
      <c r="F12" s="5" t="n">
        <v>27210000000</v>
      </c>
    </row>
    <row r="13">
      <c r="A13" s="4" t="inlineStr">
        <is>
          <t>Diluted EPS</t>
        </is>
      </c>
      <c r="B13" s="6" t="n">
        <v>6.9</v>
      </c>
      <c r="C13" s="6" t="n">
        <v>2.59</v>
      </c>
      <c r="D13" s="6" t="n">
        <v>10.61</v>
      </c>
      <c r="E13" s="6" t="n">
        <v>13.23</v>
      </c>
      <c r="F13" s="6" t="n">
        <v>13.21</v>
      </c>
    </row>
    <row r="14">
      <c r="A14" s="4" t="inlineStr">
        <is>
          <t>SG&amp;A Expense</t>
        </is>
      </c>
      <c r="B14" s="5" t="n">
        <v>15390000000</v>
      </c>
      <c r="C14" s="5" t="n">
        <v>15223000000</v>
      </c>
      <c r="D14" s="5" t="n">
        <v>27372000000</v>
      </c>
      <c r="E14" s="5" t="n">
        <v>59592000000</v>
      </c>
      <c r="F14" s="5" t="n">
        <v>42595000000</v>
      </c>
    </row>
    <row r="16">
      <c r="A16" s="2" t="inlineStr">
        <is>
          <t>Footnote: Stockholders' Equity recent quarterly data unavailable. Historical FY 2014 reference: $32,454 million.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Income Statement Variance Analysis: Q1 2026 vs Q3 2025 (Standalone)</t>
        </is>
      </c>
    </row>
    <row r="3">
      <c r="A3" s="1" t="inlineStr">
        <is>
          <t>Line Item</t>
        </is>
      </c>
      <c r="B3" s="3" t="inlineStr">
        <is>
          <t>Q1 2026 ($B)</t>
        </is>
      </c>
      <c r="C3" s="3" t="inlineStr">
        <is>
          <t>Q3 2025 ($B)</t>
        </is>
      </c>
      <c r="D3" s="3" t="inlineStr">
        <is>
          <t>Change ($B)</t>
        </is>
      </c>
      <c r="E3" s="3" t="inlineStr">
        <is>
          <t>Change (%)</t>
        </is>
      </c>
    </row>
    <row r="4">
      <c r="A4" s="4" t="inlineStr">
        <is>
          <t>Revenues</t>
        </is>
      </c>
      <c r="B4" s="7" t="n">
        <v>111.7</v>
      </c>
      <c r="C4" s="7" t="n">
        <v>113.2</v>
      </c>
      <c r="D4" s="7">
        <f>B4-C4</f>
        <v/>
      </c>
      <c r="E4" s="8">
        <f>D4/C4</f>
        <v/>
      </c>
    </row>
    <row r="5">
      <c r="A5" s="4" t="inlineStr">
        <is>
          <t>Cost of Goods and Services Sold</t>
        </is>
      </c>
      <c r="B5" s="7" t="n">
        <v>12.8</v>
      </c>
      <c r="C5" s="7" t="n">
        <v>12.6</v>
      </c>
      <c r="D5" s="7">
        <f>B5-C5</f>
        <v/>
      </c>
      <c r="E5" s="8">
        <f>D5/C5</f>
        <v/>
      </c>
    </row>
    <row r="6">
      <c r="A6" s="4" t="inlineStr">
        <is>
          <t>Operating Income</t>
        </is>
      </c>
      <c r="B6" s="7" t="n">
        <v>9</v>
      </c>
      <c r="C6" s="7" t="n">
        <v>4.3</v>
      </c>
      <c r="D6" s="7">
        <f>B6-C6</f>
        <v/>
      </c>
      <c r="E6" s="8">
        <f>D6/C6</f>
        <v/>
      </c>
    </row>
    <row r="7">
      <c r="A7" s="4" t="inlineStr">
        <is>
          <t>Net Income</t>
        </is>
      </c>
      <c r="B7" s="7" t="n">
        <v>6.3</v>
      </c>
      <c r="C7" s="7" t="n">
        <v>2.3</v>
      </c>
      <c r="D7" s="7">
        <f>B7-C7</f>
        <v/>
      </c>
      <c r="E7" s="8">
        <f>D7/C7</f>
        <v/>
      </c>
    </row>
    <row r="8">
      <c r="A8" s="4" t="inlineStr">
        <is>
          <t>Diluted EPS</t>
        </is>
      </c>
      <c r="B8" s="6" t="n">
        <v>6.9</v>
      </c>
      <c r="C8" s="6" t="n">
        <v>2.59</v>
      </c>
      <c r="D8" s="6">
        <f>B8-C8</f>
        <v/>
      </c>
      <c r="E8" s="8">
        <f>D8/C8</f>
        <v/>
      </c>
    </row>
    <row r="9">
      <c r="A9" s="4" t="inlineStr">
        <is>
          <t>SG&amp;A Expense</t>
        </is>
      </c>
      <c r="B9" s="7" t="n">
        <v>15.4</v>
      </c>
      <c r="C9" s="7" t="n">
        <v>15.2</v>
      </c>
      <c r="D9" s="7">
        <f>B9-C9</f>
        <v/>
      </c>
      <c r="E9" s="8">
        <f>D9/C9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Variance Analysis: Q1 2026 vs FY 2025</t>
        </is>
      </c>
    </row>
    <row r="3">
      <c r="A3" s="1" t="inlineStr">
        <is>
          <t>Line Item</t>
        </is>
      </c>
      <c r="B3" s="3" t="inlineStr">
        <is>
          <t>Q1 2026 ($B)</t>
        </is>
      </c>
      <c r="C3" s="3" t="inlineStr">
        <is>
          <t>FY 2025 ($B)</t>
        </is>
      </c>
      <c r="D3" s="3" t="inlineStr">
        <is>
          <t>Change ($B)</t>
        </is>
      </c>
      <c r="E3" s="3" t="inlineStr">
        <is>
          <t>Change (%)</t>
        </is>
      </c>
    </row>
    <row r="4">
      <c r="A4" s="4" t="inlineStr">
        <is>
          <t>Total Assets</t>
        </is>
      </c>
      <c r="B4" s="7" t="n">
        <v>312.6</v>
      </c>
      <c r="C4" s="7" t="n">
        <v>309.6</v>
      </c>
      <c r="D4" s="7">
        <f>B4-C4</f>
        <v/>
      </c>
      <c r="E4" s="8">
        <f>D4/C4</f>
        <v/>
      </c>
    </row>
    <row r="5">
      <c r="A5" s="4" t="inlineStr">
        <is>
          <t>Total Liabilities</t>
        </is>
      </c>
      <c r="B5" s="7" t="n">
        <v>207.3</v>
      </c>
      <c r="C5" s="7" t="n">
        <v>207.9</v>
      </c>
      <c r="D5" s="7">
        <f>B5-C5</f>
        <v/>
      </c>
      <c r="E5" s="8">
        <f>D5/C5</f>
        <v/>
      </c>
    </row>
    <row r="6">
      <c r="A6" s="4" t="inlineStr">
        <is>
          <t>Stockholders' Equity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</row>
    <row r="7">
      <c r="A7" s="4" t="inlineStr">
        <is>
          <t>Cash and Cash Equivalents</t>
        </is>
      </c>
      <c r="B7" s="7" t="n">
        <v>28</v>
      </c>
      <c r="C7" s="7" t="n">
        <v>24.4</v>
      </c>
      <c r="D7" s="7">
        <f>B7-C7</f>
        <v/>
      </c>
      <c r="E7" s="8">
        <f>D7/C7</f>
        <v/>
      </c>
    </row>
    <row r="9">
      <c r="A9" s="2" t="inlineStr">
        <is>
          <t>Footnote: Stockholders' Equity recent quarterly data unavailable. Historical FY 2014 reference: $32,454 million.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Key Financial Ratios: Q1 2026 vs Q3 2025 (Standalone)</t>
        </is>
      </c>
    </row>
    <row r="3">
      <c r="A3" s="1" t="inlineStr">
        <is>
          <t>Ratio</t>
        </is>
      </c>
      <c r="B3" s="3" t="inlineStr">
        <is>
          <t>Q1 2026</t>
        </is>
      </c>
      <c r="C3" s="3" t="inlineStr">
        <is>
          <t>Q3 2025</t>
        </is>
      </c>
      <c r="D3" s="3" t="inlineStr">
        <is>
          <t>Change (bps)</t>
        </is>
      </c>
    </row>
    <row r="4">
      <c r="A4" s="4" t="inlineStr">
        <is>
          <t>Operating Margin</t>
        </is>
      </c>
      <c r="B4" s="9">
        <f>Inputs!B7/Inputs!B5</f>
        <v/>
      </c>
      <c r="C4" s="9">
        <f>Inputs!C7/Inputs!C5</f>
        <v/>
      </c>
      <c r="D4" s="5">
        <f>(B4-C4)*10000</f>
        <v/>
      </c>
    </row>
    <row r="5">
      <c r="A5" s="4" t="inlineStr">
        <is>
          <t>Net Margin</t>
        </is>
      </c>
      <c r="B5" s="9">
        <f>Inputs!B8/Inputs!B5</f>
        <v/>
      </c>
      <c r="C5" s="9">
        <f>Inputs!C8/Inputs!C5</f>
        <v/>
      </c>
      <c r="D5" s="5">
        <f>(B5-C5)*10000</f>
        <v/>
      </c>
    </row>
    <row r="6">
      <c r="A6" s="4" t="inlineStr">
        <is>
          <t>Cost-to-Revenue Ratio</t>
        </is>
      </c>
      <c r="B6" s="9">
        <f>Inputs!B6/Inputs!B5</f>
        <v/>
      </c>
      <c r="C6" s="9">
        <f>Inputs!C6/Inputs!C5</f>
        <v/>
      </c>
      <c r="D6" s="5">
        <f>(B6-C6)*10000</f>
        <v/>
      </c>
    </row>
    <row r="7">
      <c r="A7" s="4" t="inlineStr">
        <is>
          <t>SG&amp;A-to-Revenue Ratio</t>
        </is>
      </c>
      <c r="B7" s="9">
        <f>Inputs!B14/Inputs!B5</f>
        <v/>
      </c>
      <c r="C7" s="9">
        <f>Inputs!C14/Inputs!C5</f>
        <v/>
      </c>
      <c r="D7" s="5">
        <f>(B7-C7)*10000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2026-05-13T17:55:01Z</dcterms:created>
  <dcterms:modified xmlns:dcterms="http://purl.org/dc/terms/" xmlns:xsi="http://www.w3.org/2001/XMLSchema-instance" xsi:type="dcterms:W3CDTF">2026-05-13T17:55:01Z</dcterms:modified>
</cp:coreProperties>
</file>