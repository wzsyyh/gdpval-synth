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Variance Analysis" sheetId="2" state="visible" r:id="rId2"/>
    <sheet xmlns:r="http://schemas.openxmlformats.org/officeDocument/2006/relationships" name="Trend Analysis" sheetId="3" state="visible" r:id="rId3"/>
    <sheet xmlns:r="http://schemas.openxmlformats.org/officeDocument/2006/relationships" name="Balance Sheet Ratio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x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</cols>
  <sheetData>
    <row r="1">
      <c r="A1" s="1" t="inlineStr">
        <is>
          <t>JPMorgan Chase &amp; Co (JPM) - Financial Data</t>
        </is>
      </c>
    </row>
    <row r="2">
      <c r="A2" t="inlineStr">
        <is>
          <t>Ticker: JPM | CIK: 0000019617 | Sector: Banking</t>
        </is>
      </c>
    </row>
    <row r="4">
      <c r="A4" s="2" t="inlineStr">
        <is>
          <t>Metric</t>
        </is>
      </c>
      <c r="B4" s="2" t="inlineStr">
        <is>
          <t>Period</t>
        </is>
      </c>
      <c r="C4" s="2" t="inlineStr">
        <is>
          <t>Value</t>
        </is>
      </c>
    </row>
    <row r="5">
      <c r="A5" t="inlineStr">
        <is>
          <t>Net Income ($B)</t>
        </is>
      </c>
      <c r="B5" t="inlineStr">
        <is>
          <t>Q1 2026</t>
        </is>
      </c>
      <c r="C5" s="3" t="n">
        <v>16.5</v>
      </c>
    </row>
    <row r="6">
      <c r="A6" t="inlineStr">
        <is>
          <t>Net Income ($B)</t>
        </is>
      </c>
      <c r="B6" t="inlineStr">
        <is>
          <t>Q3 2025 (Quarterly)</t>
        </is>
      </c>
      <c r="C6" s="3" t="n">
        <v>14.4</v>
      </c>
    </row>
    <row r="7">
      <c r="A7" t="inlineStr">
        <is>
          <t>Net Income ($B)</t>
        </is>
      </c>
      <c r="B7" t="inlineStr">
        <is>
          <t>Q3 2025 (Cumulative)</t>
        </is>
      </c>
      <c r="C7" s="3" t="n">
        <v>44</v>
      </c>
    </row>
    <row r="8">
      <c r="A8" t="inlineStr">
        <is>
          <t>Net Income ($B)</t>
        </is>
      </c>
      <c r="B8" t="inlineStr">
        <is>
          <t>FY 2025</t>
        </is>
      </c>
      <c r="C8" s="3" t="n">
        <v>57</v>
      </c>
    </row>
    <row r="9">
      <c r="A9" t="inlineStr">
        <is>
          <t>Total Assets ($B)</t>
        </is>
      </c>
      <c r="B9" t="inlineStr">
        <is>
          <t>Q1 2026</t>
        </is>
      </c>
      <c r="C9" s="3" t="n">
        <v>4900.5</v>
      </c>
    </row>
    <row r="10">
      <c r="A10" t="inlineStr">
        <is>
          <t>Total Assets ($B)</t>
        </is>
      </c>
      <c r="B10" t="inlineStr">
        <is>
          <t>FY 2025</t>
        </is>
      </c>
      <c r="C10" s="3" t="n">
        <v>4424.9</v>
      </c>
    </row>
    <row r="11">
      <c r="A11" t="inlineStr">
        <is>
          <t>Total Assets ($B)</t>
        </is>
      </c>
      <c r="B11" t="inlineStr">
        <is>
          <t>Q3 2025</t>
        </is>
      </c>
      <c r="C11" s="3" t="n">
        <v>4560.2</v>
      </c>
    </row>
    <row r="12">
      <c r="A12" t="inlineStr">
        <is>
          <t>Total Assets ($B)</t>
        </is>
      </c>
      <c r="B12" t="inlineStr">
        <is>
          <t>Q2 2025</t>
        </is>
      </c>
      <c r="C12" s="3" t="n">
        <v>4552.5</v>
      </c>
    </row>
    <row r="13">
      <c r="A13" t="inlineStr">
        <is>
          <t>Total Liabilities ($B)</t>
        </is>
      </c>
      <c r="B13" t="inlineStr">
        <is>
          <t>Q1 2026</t>
        </is>
      </c>
      <c r="C13" s="3" t="n">
        <v>4536.4</v>
      </c>
    </row>
    <row r="14">
      <c r="A14" t="inlineStr">
        <is>
          <t>Total Liabilities ($B)</t>
        </is>
      </c>
      <c r="B14" t="inlineStr">
        <is>
          <t>FY 2025</t>
        </is>
      </c>
      <c r="C14" s="3" t="n">
        <v>4062.5</v>
      </c>
    </row>
    <row r="15">
      <c r="A15" t="inlineStr">
        <is>
          <t>Total Liabilities ($B)</t>
        </is>
      </c>
      <c r="B15" t="inlineStr">
        <is>
          <t>Q3 2025</t>
        </is>
      </c>
      <c r="C15" s="3" t="n">
        <v>4200</v>
      </c>
    </row>
    <row r="16">
      <c r="A16" t="inlineStr">
        <is>
          <t>Total Liabilities ($B)</t>
        </is>
      </c>
      <c r="B16" t="inlineStr">
        <is>
          <t>Q2 2025</t>
        </is>
      </c>
      <c r="C16" s="3" t="n">
        <v>4195.6</v>
      </c>
    </row>
    <row r="17">
      <c r="A17" t="inlineStr">
        <is>
          <t>Stockholders' Equity ($B)</t>
        </is>
      </c>
      <c r="B17" t="inlineStr">
        <is>
          <t>Q1 2026</t>
        </is>
      </c>
      <c r="C17" s="3" t="n">
        <v>364</v>
      </c>
    </row>
    <row r="18">
      <c r="A18" t="inlineStr">
        <is>
          <t>Stockholders' Equity ($B)</t>
        </is>
      </c>
      <c r="B18" t="inlineStr">
        <is>
          <t>FY 2025</t>
        </is>
      </c>
      <c r="C18" s="3" t="n">
        <v>362.4</v>
      </c>
    </row>
    <row r="19">
      <c r="A19" t="inlineStr">
        <is>
          <t>Stockholders' Equity ($B)</t>
        </is>
      </c>
      <c r="B19" t="inlineStr">
        <is>
          <t>Q3 2025</t>
        </is>
      </c>
      <c r="C19" s="3" t="n">
        <v>360.2</v>
      </c>
    </row>
    <row r="20">
      <c r="A20" t="inlineStr">
        <is>
          <t>Stockholders' Equity ($B)</t>
        </is>
      </c>
      <c r="B20" t="inlineStr">
        <is>
          <t>Q2 2025</t>
        </is>
      </c>
      <c r="C20" s="3" t="n">
        <v>356.9</v>
      </c>
    </row>
    <row r="21">
      <c r="A21" t="inlineStr">
        <is>
          <t>Diluted EPS ($)</t>
        </is>
      </c>
      <c r="B21" t="inlineStr">
        <is>
          <t>Q1 2026</t>
        </is>
      </c>
      <c r="C21" s="4" t="n">
        <v>5.94</v>
      </c>
    </row>
    <row r="22">
      <c r="A22" t="inlineStr">
        <is>
          <t>Diluted EPS ($)</t>
        </is>
      </c>
      <c r="B22" t="inlineStr">
        <is>
          <t>FY 2025</t>
        </is>
      </c>
      <c r="C22" s="4" t="n">
        <v>20.02</v>
      </c>
    </row>
    <row r="23">
      <c r="A23" t="inlineStr">
        <is>
          <t>Diluted EPS ($)</t>
        </is>
      </c>
      <c r="B23" t="inlineStr">
        <is>
          <t>Q3 2025</t>
        </is>
      </c>
      <c r="C23" s="4" t="n">
        <v>5.07</v>
      </c>
    </row>
    <row r="24">
      <c r="A24" t="inlineStr">
        <is>
          <t>Diluted EPS ($)</t>
        </is>
      </c>
      <c r="B24" t="inlineStr">
        <is>
          <t>Q2 2025 (Cumulative)</t>
        </is>
      </c>
      <c r="C24" s="4" t="n">
        <v>10.31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Q1 2026 vs Q3 2025 - Variance Analysis</t>
        </is>
      </c>
    </row>
    <row r="3">
      <c r="A3" s="2" t="inlineStr">
        <is>
          <t>Metric</t>
        </is>
      </c>
      <c r="B3" s="2" t="inlineStr">
        <is>
          <t>Q1 2026</t>
        </is>
      </c>
      <c r="C3" s="2" t="inlineStr">
        <is>
          <t>Q3 2025</t>
        </is>
      </c>
      <c r="D3" s="2" t="inlineStr">
        <is>
          <t>Variance ($B)</t>
        </is>
      </c>
      <c r="E3" s="2" t="inlineStr">
        <is>
          <t>Variance (%)</t>
        </is>
      </c>
    </row>
    <row r="4">
      <c r="A4" t="inlineStr">
        <is>
          <t>Net Income ($B)</t>
        </is>
      </c>
      <c r="B4" s="3">
        <f>Inputs!C5</f>
        <v/>
      </c>
      <c r="C4" s="3">
        <f>Inputs!C6</f>
        <v/>
      </c>
      <c r="D4" s="3">
        <f>B4-C4</f>
        <v/>
      </c>
      <c r="E4" s="5">
        <f>(B4-C4)/C4</f>
        <v/>
      </c>
    </row>
    <row r="5">
      <c r="A5" t="inlineStr">
        <is>
          <t>Total Assets ($B)</t>
        </is>
      </c>
      <c r="B5" s="3">
        <f>Inputs!C9</f>
        <v/>
      </c>
      <c r="C5" s="3">
        <f>Inputs!C11</f>
        <v/>
      </c>
      <c r="D5" s="3">
        <f>B5-C5</f>
        <v/>
      </c>
      <c r="E5" s="5">
        <f>(B5-C5)/C5</f>
        <v/>
      </c>
    </row>
    <row r="6">
      <c r="A6" t="inlineStr">
        <is>
          <t>Total Liabilities ($B)</t>
        </is>
      </c>
      <c r="B6" s="3">
        <f>Inputs!C13</f>
        <v/>
      </c>
      <c r="C6" s="3">
        <f>Inputs!C15</f>
        <v/>
      </c>
      <c r="D6" s="3">
        <f>B6-C6</f>
        <v/>
      </c>
      <c r="E6" s="5">
        <f>(B6-C6)/C6</f>
        <v/>
      </c>
    </row>
    <row r="7">
      <c r="A7" t="inlineStr">
        <is>
          <t>Stockholders' Equity ($B)</t>
        </is>
      </c>
      <c r="B7" s="3">
        <f>Inputs!C17</f>
        <v/>
      </c>
      <c r="C7" s="3">
        <f>Inputs!C19</f>
        <v/>
      </c>
      <c r="D7" s="3">
        <f>B7-C7</f>
        <v/>
      </c>
      <c r="E7" s="5">
        <f>(B7-C7)/C7</f>
        <v/>
      </c>
    </row>
    <row r="8">
      <c r="A8" t="inlineStr">
        <is>
          <t>Diluted EPS ($)</t>
        </is>
      </c>
      <c r="B8" s="4">
        <f>Inputs!C21</f>
        <v/>
      </c>
      <c r="C8" s="4">
        <f>Inputs!C23</f>
        <v/>
      </c>
      <c r="D8" s="4">
        <f>B8-C8</f>
        <v/>
      </c>
      <c r="E8" s="5">
        <f>(B8-C8)/C8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8" customWidth="1" min="5" max="5"/>
  </cols>
  <sheetData>
    <row r="1">
      <c r="A1" s="1" t="inlineStr">
        <is>
          <t>Q1 2026 vs FY 2025 Trend Analysis</t>
        </is>
      </c>
    </row>
    <row r="3">
      <c r="A3" s="2" t="inlineStr">
        <is>
          <t>Metric</t>
        </is>
      </c>
      <c r="B3" s="2" t="inlineStr">
        <is>
          <t>Q1 2026</t>
        </is>
      </c>
      <c r="C3" s="2" t="inlineStr">
        <is>
          <t>FY 2025</t>
        </is>
      </c>
      <c r="D3" s="2" t="inlineStr">
        <is>
          <t>Q1 as % of FY</t>
        </is>
      </c>
    </row>
    <row r="4">
      <c r="A4" t="inlineStr">
        <is>
          <t>Net Income ($B)</t>
        </is>
      </c>
      <c r="B4" s="3">
        <f>Inputs!C5</f>
        <v/>
      </c>
      <c r="C4" s="3">
        <f>Inputs!C8</f>
        <v/>
      </c>
      <c r="D4" s="5">
        <f>B4/C4</f>
        <v/>
      </c>
    </row>
    <row r="5">
      <c r="A5" t="inlineStr">
        <is>
          <t>Diluted EPS ($)</t>
        </is>
      </c>
      <c r="B5" s="4">
        <f>Inputs!C21</f>
        <v/>
      </c>
      <c r="C5" s="4">
        <f>Inputs!C22</f>
        <v/>
      </c>
      <c r="D5" s="5">
        <f>B5/C5</f>
        <v/>
      </c>
    </row>
    <row r="7">
      <c r="A7" s="1" t="inlineStr">
        <is>
          <t>Q3 2025 Annualized vs FY 2025</t>
        </is>
      </c>
    </row>
    <row r="8">
      <c r="A8" s="2" t="inlineStr">
        <is>
          <t>Metric</t>
        </is>
      </c>
      <c r="B8" s="2" t="inlineStr">
        <is>
          <t>Q3 2025 Qtrly</t>
        </is>
      </c>
      <c r="C8" s="2" t="inlineStr">
        <is>
          <t>Annualized</t>
        </is>
      </c>
      <c r="D8" s="2" t="inlineStr">
        <is>
          <t>FY 2025 Actual</t>
        </is>
      </c>
      <c r="E8" s="2" t="inlineStr">
        <is>
          <t>Annualized vs Actual</t>
        </is>
      </c>
    </row>
    <row r="9">
      <c r="A9" t="inlineStr">
        <is>
          <t>Net Income ($B)</t>
        </is>
      </c>
      <c r="B9" s="3">
        <f>Inputs!C6</f>
        <v/>
      </c>
      <c r="C9" s="3">
        <f>B9*4</f>
        <v/>
      </c>
      <c r="D9" s="3">
        <f>Inputs!C8</f>
        <v/>
      </c>
      <c r="E9" s="5">
        <f>(C9-D9)/D9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Balance Sheet Ratios</t>
        </is>
      </c>
    </row>
    <row r="3">
      <c r="A3" s="2" t="inlineStr">
        <is>
          <t>Ratio</t>
        </is>
      </c>
      <c r="B3" s="2" t="inlineStr">
        <is>
          <t>Q1 2026</t>
        </is>
      </c>
      <c r="C3" s="2" t="inlineStr">
        <is>
          <t>Q3 2025</t>
        </is>
      </c>
      <c r="D3" s="2" t="inlineStr">
        <is>
          <t>Change</t>
        </is>
      </c>
    </row>
    <row r="4">
      <c r="A4" t="inlineStr">
        <is>
          <t>Equity-to-Assets</t>
        </is>
      </c>
      <c r="B4" s="6">
        <f>Inputs!C17/Inputs!C9</f>
        <v/>
      </c>
      <c r="C4" s="6">
        <f>Inputs!C19/Inputs!C11</f>
        <v/>
      </c>
      <c r="D4" s="6">
        <f>B4-C4</f>
        <v/>
      </c>
    </row>
    <row r="5">
      <c r="A5" t="inlineStr">
        <is>
          <t>Liabilities-to-Equity</t>
        </is>
      </c>
      <c r="B5" s="7">
        <f>Inputs!C13/Inputs!C17</f>
        <v/>
      </c>
      <c r="C5" s="7">
        <f>Inputs!C15/Inputs!C19</f>
        <v/>
      </c>
      <c r="D5" s="7">
        <f>B5-C5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Variance Analysis Summary</t>
        </is>
      </c>
    </row>
    <row r="3">
      <c r="A3" s="1" t="inlineStr">
        <is>
          <t>Key Findings:</t>
        </is>
      </c>
    </row>
    <row r="4">
      <c r="A4" t="inlineStr">
        <is>
          <t>The largest positive variance in Q1 2026 vs Q3 2025 was Net Income, which increased from $14.4B to $16.5B, representing a 14.6% quarter-over-quarter improvement. Total Assets also grew substantially, rising from $4,560.2B to $4,900.5B, a $340.3B or 7.5% increase.</t>
        </is>
      </c>
    </row>
    <row r="6">
      <c r="A6" t="inlineStr">
        <is>
          <t>Concerning trends include the leverage ratio increasing as liabilities grew faster than equity. Liabilities-to-Equity rose from 11.65x to 12.46x, indicating higher leverage. Stockholders' Equity showed modest growth of only 1.1% QoQ despite the strong earnings, suggesting capital returned to shareholders or other comprehensive income adjustments.</t>
        </is>
      </c>
    </row>
    <row r="8">
      <c r="A8" t="inlineStr">
        <is>
          <t>Q1 2026 Net Income of $16.5B represents 28.9% of FY 2025 full-year Net Income of $57.0B, suggesting the company is on track to exceed prior year earnings if this pace is maintained. Q1 2026 EPS of $5.94 represents 29.7% of FY 2025 EPS of $20.02, slightly above the proportional quarterly run-rate of 25%.</t>
        </is>
      </c>
    </row>
    <row r="10">
      <c r="A10" t="inlineStr">
        <is>
          <t>The Q3 2025 annualized Net Income of $57.6B slightly exceeded FY 2025 actual of $57.0B by 0.9%, indicating consistent quarterly performance. The balance sheet expanded significantly with Equity-to-Assets declining from 7.90% to 7.43%, reflecting faster asset growth relative to equity expansion.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2026-05-13T18:53:36Z</dcterms:created>
  <dcterms:modified xmlns:dcterms="http://purl.org/dc/terms/" xmlns:xsi="http://www.w3.org/2001/XMLSchema-instance" xsi:type="dcterms:W3CDTF">2026-05-13T18:53:36Z</dcterms:modified>
</cp:coreProperties>
</file>