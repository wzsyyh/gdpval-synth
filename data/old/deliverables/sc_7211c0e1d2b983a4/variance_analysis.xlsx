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evenue Analysis" sheetId="2" state="visible" r:id="rId2"/>
    <sheet xmlns:r="http://schemas.openxmlformats.org/officeDocument/2006/relationships" name="Profitability Analysis" sheetId="3" state="visible" r:id="rId3"/>
    <sheet xmlns:r="http://schemas.openxmlformats.org/officeDocument/2006/relationships" name="Balance Sheet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,,&quot;B&quot;"/>
    <numFmt numFmtId="165" formatCode="0.0%"/>
    <numFmt numFmtId="166" formatCode="$#,##0.00"/>
    <numFmt numFmtId="167" formatCode="0.00x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2" fillId="3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Meta Platforms Inc (META) - Q1 2026 Variance Analysis</t>
        </is>
      </c>
    </row>
    <row r="3">
      <c r="A3" s="1" t="inlineStr">
        <is>
          <t>Metric</t>
        </is>
      </c>
      <c r="B3" s="1" t="inlineStr">
        <is>
          <t>Q1 2026</t>
        </is>
      </c>
      <c r="C3" s="1" t="inlineStr">
        <is>
          <t>Q3 2025 Qtrly</t>
        </is>
      </c>
      <c r="D3" s="1" t="inlineStr">
        <is>
          <t>Change ($B)</t>
        </is>
      </c>
      <c r="E3" s="1" t="inlineStr">
        <is>
          <t>Growth (%)</t>
        </is>
      </c>
    </row>
    <row r="4">
      <c r="A4" s="2" t="inlineStr">
        <is>
          <t>Revenue</t>
        </is>
      </c>
      <c r="B4" s="3" t="n">
        <v>56311000000</v>
      </c>
      <c r="C4" s="3" t="n">
        <v>51242000000</v>
      </c>
      <c r="D4" s="3">
        <f>B4-C4</f>
        <v/>
      </c>
      <c r="E4" s="4">
        <f>(B4-C4)/C4</f>
        <v/>
      </c>
    </row>
    <row r="5">
      <c r="A5" s="2" t="inlineStr">
        <is>
          <t>Operating Income</t>
        </is>
      </c>
      <c r="B5" s="3" t="n">
        <v>22872000000</v>
      </c>
      <c r="C5" s="3" t="n">
        <v>20535000000</v>
      </c>
      <c r="D5" s="3">
        <f>B5-C5</f>
        <v/>
      </c>
      <c r="E5" s="4">
        <f>(B5-C5)/C5</f>
        <v/>
      </c>
    </row>
    <row r="6">
      <c r="A6" s="2" t="inlineStr">
        <is>
          <t>Net Income</t>
        </is>
      </c>
      <c r="B6" s="3" t="n">
        <v>26773000000</v>
      </c>
      <c r="C6" s="3" t="n">
        <v>2709000000</v>
      </c>
      <c r="D6" s="3">
        <f>B6-C6</f>
        <v/>
      </c>
      <c r="E6" s="4">
        <f>(B6-C6)/C6</f>
        <v/>
      </c>
    </row>
    <row r="7">
      <c r="A7" s="2" t="inlineStr">
        <is>
          <t>EPS Diluted</t>
        </is>
      </c>
      <c r="B7" s="5" t="n">
        <v>10.44</v>
      </c>
      <c r="C7" s="5" t="n">
        <v>1.05</v>
      </c>
      <c r="D7" s="5">
        <f>B7-C7</f>
        <v/>
      </c>
      <c r="E7" s="4">
        <f>(B7-C7)/C7</f>
        <v/>
      </c>
    </row>
    <row r="8">
      <c r="A8" s="2" t="inlineStr">
        <is>
          <t>R&amp;D Expense</t>
        </is>
      </c>
      <c r="B8" s="3" t="n">
        <v>17699000000</v>
      </c>
      <c r="C8" s="3" t="n">
        <v>15144000000</v>
      </c>
      <c r="D8" s="3">
        <f>B8-C8</f>
        <v/>
      </c>
      <c r="E8" s="4">
        <f>(B8-C8)/C8</f>
        <v/>
      </c>
    </row>
    <row r="9">
      <c r="A9" s="6" t="inlineStr">
        <is>
          <t>Balance Sheet Metrics</t>
        </is>
      </c>
    </row>
    <row r="10">
      <c r="A10" t="inlineStr">
        <is>
          <t>Total Assets</t>
        </is>
      </c>
      <c r="B10" s="3" t="n">
        <v>395250000000</v>
      </c>
      <c r="C10" s="3" t="n">
        <v>303844000000</v>
      </c>
      <c r="D10" s="3">
        <f>B10-C10</f>
        <v/>
      </c>
      <c r="E10" s="4">
        <f>(B10-C10)/C10</f>
        <v/>
      </c>
    </row>
    <row r="11">
      <c r="A11" t="inlineStr">
        <is>
          <t>Total Liabilities</t>
        </is>
      </c>
      <c r="B11" s="3" t="n">
        <v>151569000000</v>
      </c>
      <c r="C11" s="3" t="n">
        <v>109778000000</v>
      </c>
      <c r="D11" s="3">
        <f>B11-C11</f>
        <v/>
      </c>
      <c r="E11" s="4">
        <f>(B11-C11)/C11</f>
        <v/>
      </c>
    </row>
    <row r="12">
      <c r="A12" t="inlineStr">
        <is>
          <t>Stockholders Equity</t>
        </is>
      </c>
      <c r="B12" s="3" t="n">
        <v>243681000000</v>
      </c>
      <c r="C12" s="3" t="n">
        <v>194066000000</v>
      </c>
      <c r="D12" s="3">
        <f>B12-C12</f>
        <v/>
      </c>
      <c r="E12" s="4">
        <f>(B12-C12)/C12</f>
        <v/>
      </c>
    </row>
    <row r="13">
      <c r="A13" t="inlineStr">
        <is>
          <t>Cash and Cash Equivalents</t>
        </is>
      </c>
      <c r="B13" s="3" t="n">
        <v>23426000000</v>
      </c>
      <c r="C13" s="3" t="n">
        <v>10187000000</v>
      </c>
      <c r="D13" s="3">
        <f>B13-C13</f>
        <v/>
      </c>
      <c r="E13" s="4">
        <f>(B13-C13)/C13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Meta Platforms Inc (META) - Revenue Trend Analysis</t>
        </is>
      </c>
    </row>
    <row r="3">
      <c r="A3" s="1" t="inlineStr">
        <is>
          <t>Period</t>
        </is>
      </c>
      <c r="B3" s="1" t="inlineStr">
        <is>
          <t>Revenue ($B)</t>
        </is>
      </c>
      <c r="C3" s="1" t="inlineStr">
        <is>
          <t>QoQ Growth</t>
        </is>
      </c>
      <c r="D3" s="1" t="inlineStr">
        <is>
          <t>YoY Growth</t>
        </is>
      </c>
    </row>
    <row r="4">
      <c r="A4" t="inlineStr">
        <is>
          <t>Q1 2018</t>
        </is>
      </c>
      <c r="B4" s="3" t="n">
        <v>11966000000</v>
      </c>
      <c r="C4" t="inlineStr">
        <is>
          <t>N/A</t>
        </is>
      </c>
      <c r="D4" t="inlineStr">
        <is>
          <t>N/A</t>
        </is>
      </c>
    </row>
    <row r="5">
      <c r="A5" t="inlineStr">
        <is>
          <t>Q2 2018</t>
        </is>
      </c>
      <c r="B5" s="3" t="n">
        <v>13231000000</v>
      </c>
      <c r="C5" s="4">
        <f>(B5-B4)/B4</f>
        <v/>
      </c>
      <c r="D5" t="inlineStr">
        <is>
          <t>N/A</t>
        </is>
      </c>
    </row>
    <row r="6">
      <c r="A6" t="inlineStr">
        <is>
          <t>Q3 2018</t>
        </is>
      </c>
      <c r="B6" s="3" t="n">
        <v>13727000000</v>
      </c>
      <c r="C6" s="4">
        <f>(B6-B5)/B5</f>
        <v/>
      </c>
      <c r="D6" t="inlineStr">
        <is>
          <t>N/A</t>
        </is>
      </c>
    </row>
    <row r="8">
      <c r="A8" t="inlineStr">
        <is>
          <t>Q3 2025 Qtrly</t>
        </is>
      </c>
      <c r="B8" s="3" t="n">
        <v>51242000000</v>
      </c>
      <c r="C8" t="inlineStr">
        <is>
          <t>N/A</t>
        </is>
      </c>
      <c r="D8" t="inlineStr">
        <is>
          <t>N/A</t>
        </is>
      </c>
    </row>
    <row r="9">
      <c r="A9" t="inlineStr">
        <is>
          <t>Q1 2026</t>
        </is>
      </c>
      <c r="B9" s="3" t="n">
        <v>56311000000</v>
      </c>
      <c r="C9" s="4">
        <f>(B9-B8)/B8</f>
        <v/>
      </c>
      <c r="D9" t="inlineStr">
        <is>
          <t>N/A</t>
        </is>
      </c>
    </row>
    <row r="11">
      <c r="A11" s="2" t="inlineStr">
        <is>
          <t>Highest Quarterly Revenue</t>
        </is>
      </c>
      <c r="B11" s="2" t="inlineStr">
        <is>
          <t>$56.3B Q1 2026</t>
        </is>
      </c>
    </row>
    <row r="12">
      <c r="A12" s="2" t="inlineStr">
        <is>
          <t>Lowest Quarterly Revenue</t>
        </is>
      </c>
      <c r="B12" s="2" t="inlineStr">
        <is>
          <t>$12.0B Q1 2018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Meta Platforms Inc (META) - Profitability Analysis</t>
        </is>
      </c>
    </row>
    <row r="3">
      <c r="A3" s="1" t="inlineStr">
        <is>
          <t>Period</t>
        </is>
      </c>
      <c r="B3" s="1" t="inlineStr">
        <is>
          <t>Revenue ($B)</t>
        </is>
      </c>
      <c r="C3" s="1" t="inlineStr">
        <is>
          <t>Op Income ($B)</t>
        </is>
      </c>
      <c r="D3" s="1" t="inlineStr">
        <is>
          <t>Net Income ($B)</t>
        </is>
      </c>
      <c r="E3" s="1" t="inlineStr">
        <is>
          <t>Op Margin</t>
        </is>
      </c>
      <c r="F3" s="1" t="inlineStr">
        <is>
          <t>Net Margin</t>
        </is>
      </c>
    </row>
    <row r="4">
      <c r="A4" t="inlineStr">
        <is>
          <t>Q1 2026</t>
        </is>
      </c>
      <c r="B4" s="3" t="n">
        <v>56311000000</v>
      </c>
      <c r="C4" s="3" t="n">
        <v>22872000000</v>
      </c>
      <c r="D4" s="3" t="n">
        <v>26773000000</v>
      </c>
      <c r="E4" s="4">
        <f>C4/B4</f>
        <v/>
      </c>
      <c r="F4" s="4">
        <f>D4/B4</f>
        <v/>
      </c>
    </row>
    <row r="5">
      <c r="A5" t="inlineStr">
        <is>
          <t>Q3 2025 Qtrly</t>
        </is>
      </c>
      <c r="B5" s="3" t="n">
        <v>51242000000</v>
      </c>
      <c r="C5" s="3" t="n">
        <v>20535000000</v>
      </c>
      <c r="D5" s="3" t="n">
        <v>2709000000</v>
      </c>
      <c r="E5" s="4">
        <f>C5/B5</f>
        <v/>
      </c>
      <c r="F5" s="4">
        <f>D5/B5</f>
        <v/>
      </c>
    </row>
    <row r="6">
      <c r="A6" t="inlineStr">
        <is>
          <t>FY 2025</t>
        </is>
      </c>
      <c r="B6" s="3" t="n">
        <v>200966000000</v>
      </c>
      <c r="C6" s="3" t="n">
        <v>83276000000</v>
      </c>
      <c r="D6" s="3" t="n">
        <v>60458000000</v>
      </c>
      <c r="E6" s="4">
        <f>C6/B6</f>
        <v/>
      </c>
      <c r="F6" s="4">
        <f>D6/B6</f>
        <v/>
      </c>
    </row>
    <row r="7">
      <c r="A7" t="inlineStr">
        <is>
          <t>Q2 2025 YTD</t>
        </is>
      </c>
      <c r="B7" s="3" t="n">
        <v>89830000000</v>
      </c>
      <c r="C7" s="3" t="n">
        <v>37997000000</v>
      </c>
      <c r="D7" t="inlineStr">
        <is>
          <t>N/A</t>
        </is>
      </c>
      <c r="E7" s="4">
        <f>C7/B7</f>
        <v/>
      </c>
      <c r="F7" t="inlineStr">
        <is>
          <t>N/A</t>
        </is>
      </c>
    </row>
    <row r="9">
      <c r="A9" s="2" t="inlineStr">
        <is>
          <t>Highest Operating Margin</t>
        </is>
      </c>
      <c r="B9" s="2" t="inlineStr">
        <is>
          <t>Q1 2026 at 40.6%</t>
        </is>
      </c>
    </row>
    <row r="10">
      <c r="A10" s="2" t="inlineStr">
        <is>
          <t>Highest Net Margin</t>
        </is>
      </c>
      <c r="B10" s="2" t="inlineStr">
        <is>
          <t>Q1 2026 at 47.5%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Meta Platforms Inc (META) - Balance Sheet Analysis</t>
        </is>
      </c>
    </row>
    <row r="3">
      <c r="A3" s="1" t="inlineStr">
        <is>
          <t>Line Item</t>
        </is>
      </c>
      <c r="B3" s="1" t="inlineStr">
        <is>
          <t>Q1 2026</t>
        </is>
      </c>
      <c r="C3" s="1" t="inlineStr">
        <is>
          <t>FY 2025</t>
        </is>
      </c>
      <c r="D3" s="1" t="inlineStr">
        <is>
          <t>Change ($B)</t>
        </is>
      </c>
      <c r="E3" s="1" t="inlineStr">
        <is>
          <t>Change (%)</t>
        </is>
      </c>
      <c r="F3" s="1" t="inlineStr">
        <is>
          <t>D/E Ratio</t>
        </is>
      </c>
    </row>
    <row r="4">
      <c r="A4" t="inlineStr">
        <is>
          <t>Total Assets</t>
        </is>
      </c>
      <c r="B4" s="3" t="n">
        <v>395250000000</v>
      </c>
      <c r="C4" s="3" t="n">
        <v>366021000000</v>
      </c>
      <c r="D4" s="3">
        <f>B4-C4</f>
        <v/>
      </c>
      <c r="E4" s="4">
        <f>(B4-C4)/C4</f>
        <v/>
      </c>
      <c r="F4" t="inlineStr"/>
    </row>
    <row r="5">
      <c r="A5" t="inlineStr">
        <is>
          <t>Total Liabilities</t>
        </is>
      </c>
      <c r="B5" s="3" t="n">
        <v>151569000000</v>
      </c>
      <c r="C5" s="3" t="n">
        <v>148778000000</v>
      </c>
      <c r="D5" s="3">
        <f>B5-C5</f>
        <v/>
      </c>
      <c r="E5" s="4">
        <f>(B5-C5)/C5</f>
        <v/>
      </c>
      <c r="F5" t="inlineStr"/>
    </row>
    <row r="6">
      <c r="A6" t="inlineStr">
        <is>
          <t>Stockholders Equity</t>
        </is>
      </c>
      <c r="B6" s="3" t="n">
        <v>243681000000</v>
      </c>
      <c r="C6" s="3" t="n">
        <v>217243000000</v>
      </c>
      <c r="D6" s="3">
        <f>B6-C6</f>
        <v/>
      </c>
      <c r="E6" s="4">
        <f>(B6-C6)/C6</f>
        <v/>
      </c>
      <c r="F6" t="inlineStr"/>
    </row>
    <row r="7">
      <c r="A7" t="inlineStr">
        <is>
          <t>Cash and Cash Equivalents</t>
        </is>
      </c>
      <c r="B7" s="3" t="n">
        <v>23426000000</v>
      </c>
      <c r="C7" s="3" t="n">
        <v>35873000000</v>
      </c>
      <c r="D7" s="3">
        <f>B7-C7</f>
        <v/>
      </c>
      <c r="E7" s="4">
        <f>(B7-C7)/C7</f>
        <v/>
      </c>
      <c r="F7" t="inlineStr"/>
    </row>
    <row r="9">
      <c r="A9" s="6" t="inlineStr">
        <is>
          <t>Debt to Equity Ratio</t>
        </is>
      </c>
    </row>
    <row r="10">
      <c r="A10" t="inlineStr">
        <is>
          <t>Q1 2026 D/E</t>
        </is>
      </c>
      <c r="B10" s="7">
        <f>B5/B6</f>
        <v/>
      </c>
    </row>
    <row r="11">
      <c r="A11" t="inlineStr">
        <is>
          <t>FY 2025 D/E</t>
        </is>
      </c>
      <c r="B11" s="7">
        <f>C5/C6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2026-05-13T17:30:28Z</dcterms:created>
  <dcterms:modified xmlns:dcterms="http://purl.org/dc/terms/" xmlns:xsi="http://www.w3.org/2001/XMLSchema-instance" xsi:type="dcterms:W3CDTF">2026-05-13T17:30:28Z</dcterms:modified>
</cp:coreProperties>
</file>