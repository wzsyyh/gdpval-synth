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 vs Budge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Variance Analysis: Actual vs Budget</t>
        </is>
      </c>
    </row>
    <row r="3">
      <c r="A3" s="1" t="inlineStr">
        <is>
          <t>Line Item</t>
        </is>
      </c>
      <c r="B3" s="1" t="inlineStr">
        <is>
          <t>Actual ($M)</t>
        </is>
      </c>
      <c r="C3" s="1" t="inlineStr">
        <is>
          <t>Budget ($M)</t>
        </is>
      </c>
      <c r="D3" s="1" t="inlineStr">
        <is>
          <t>Variance ($M)</t>
        </is>
      </c>
      <c r="E3" s="1" t="inlineStr">
        <is>
          <t>Variance (%)</t>
        </is>
      </c>
    </row>
    <row r="4">
      <c r="A4" t="inlineStr">
        <is>
          <t>Revenue</t>
        </is>
      </c>
      <c r="B4" t="n">
        <v>14451</v>
      </c>
      <c r="C4" t="n">
        <v>14258.6</v>
      </c>
      <c r="D4">
        <f>B4-C4</f>
        <v/>
      </c>
      <c r="E4" s="2">
        <f>D4/C4</f>
        <v/>
      </c>
    </row>
    <row r="5">
      <c r="A5" t="inlineStr">
        <is>
          <t>COGS</t>
        </is>
      </c>
      <c r="B5" t="n">
        <v>8670.6</v>
      </c>
      <c r="C5" t="n">
        <v>8726.6</v>
      </c>
      <c r="D5">
        <f>B5-C5</f>
        <v/>
      </c>
      <c r="E5" s="2">
        <f>D5/C5</f>
        <v/>
      </c>
    </row>
    <row r="6">
      <c r="A6" t="inlineStr">
        <is>
          <t>Gross Profit</t>
        </is>
      </c>
      <c r="B6" t="n">
        <v>5780.4</v>
      </c>
      <c r="C6" t="n">
        <v>5483.1</v>
      </c>
      <c r="D6">
        <f>B6-C6</f>
        <v/>
      </c>
      <c r="E6" s="2">
        <f>D6/C6</f>
        <v/>
      </c>
    </row>
    <row r="7">
      <c r="A7" t="inlineStr">
        <is>
          <t>SG&amp;A</t>
        </is>
      </c>
      <c r="B7" t="n">
        <v>3612.7</v>
      </c>
      <c r="C7" t="n">
        <v>3686.6</v>
      </c>
      <c r="D7">
        <f>B7-C7</f>
        <v/>
      </c>
      <c r="E7" s="2">
        <f>D7/C7</f>
        <v/>
      </c>
    </row>
    <row r="8">
      <c r="A8" t="inlineStr">
        <is>
          <t>Operating Income</t>
        </is>
      </c>
      <c r="B8" t="n">
        <v>2167.7</v>
      </c>
      <c r="C8" t="n">
        <v>1852.1</v>
      </c>
      <c r="D8">
        <f>B8-C8</f>
        <v/>
      </c>
      <c r="E8" s="2">
        <f>D8/C8</f>
        <v/>
      </c>
    </row>
    <row r="9">
      <c r="A9" t="inlineStr">
        <is>
          <t>Net Income</t>
        </is>
      </c>
      <c r="B9" t="n">
        <v>2687</v>
      </c>
      <c r="C9" t="n">
        <v>2364.4</v>
      </c>
      <c r="D9">
        <f>B9-C9</f>
        <v/>
      </c>
      <c r="E9" s="2">
        <f>D9/C9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</cols>
  <sheetData>
    <row r="1">
      <c r="A1" s="1" t="inlineStr">
        <is>
          <t>Balance Sheet Snapshot</t>
        </is>
      </c>
    </row>
    <row r="3">
      <c r="A3" s="1" t="inlineStr">
        <is>
          <t>Line Item</t>
        </is>
      </c>
      <c r="B3" s="1" t="inlineStr">
        <is>
          <t>Actual ($M)</t>
        </is>
      </c>
    </row>
    <row r="4">
      <c r="A4" t="inlineStr">
        <is>
          <t>Total Assets</t>
        </is>
      </c>
      <c r="B4" t="n">
        <v>207618</v>
      </c>
    </row>
    <row r="5">
      <c r="A5" t="inlineStr">
        <is>
          <t>Total Liabilities</t>
        </is>
      </c>
      <c r="B5" t="n">
        <v>117214</v>
      </c>
    </row>
    <row r="6">
      <c r="A6" t="inlineStr">
        <is>
          <t>Stockholders' Equity</t>
        </is>
      </c>
      <c r="B6" t="n">
        <v>90101</v>
      </c>
    </row>
    <row r="7">
      <c r="A7" t="inlineStr">
        <is>
          <t>Cash &amp; Equivalents</t>
        </is>
      </c>
      <c r="B7" t="n">
        <v>1703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 t="inlineStr">
        <is>
          <t>Key Variances</t>
        </is>
      </c>
    </row>
    <row r="3">
      <c r="A3" t="inlineStr">
        <is>
          <t>Primary driver of revenue variance</t>
        </is>
      </c>
      <c r="B3" t="inlineStr">
        <is>
          <t>Volume / price mix</t>
        </is>
      </c>
    </row>
    <row r="4">
      <c r="A4" t="inlineStr">
        <is>
          <t>Primary driver of margin variance</t>
        </is>
      </c>
      <c r="B4" t="inlineStr">
        <is>
          <t>Input cost inflation vs pricing power</t>
        </is>
      </c>
    </row>
    <row r="5">
      <c r="A5" t="inlineStr">
        <is>
          <t>Largest $ variance line item</t>
        </is>
      </c>
      <c r="B5">
        <f>MAX('Actual vs Budget'!D4:D9)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2026-05-13T12:28:24Z</dcterms:created>
  <dcterms:modified xmlns:dcterms="http://purl.org/dc/terms/" xmlns:xsi="http://www.w3.org/2001/XMLSchema-instance" xsi:type="dcterms:W3CDTF">2026-05-13T12:28:24Z</dcterms:modified>
</cp:coreProperties>
</file>