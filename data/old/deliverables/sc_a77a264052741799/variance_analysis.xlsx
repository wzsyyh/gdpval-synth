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Deere &amp; Co (DE) - Quarterly Variance Analysis</t>
        </is>
      </c>
    </row>
    <row r="2">
      <c r="A2" t="inlineStr">
        <is>
          <t>Source: SEC EDGAR XBRL Data</t>
        </is>
      </c>
    </row>
    <row r="4">
      <c r="A4" s="2" t="inlineStr">
        <is>
          <t>Metric</t>
        </is>
      </c>
      <c r="B4" s="2" t="inlineStr">
        <is>
          <t>Q1 FY2026</t>
        </is>
      </c>
      <c r="C4" s="2" t="inlineStr">
        <is>
          <t>FY2025</t>
        </is>
      </c>
    </row>
    <row r="5">
      <c r="A5" t="inlineStr">
        <is>
          <t>Revenue</t>
        </is>
      </c>
      <c r="B5" s="3" t="n">
        <v>9611000000</v>
      </c>
      <c r="C5" s="3" t="n">
        <v>45684000000</v>
      </c>
    </row>
    <row r="6">
      <c r="A6" t="inlineStr">
        <is>
          <t>Net Income</t>
        </is>
      </c>
      <c r="B6" s="3" t="n">
        <v>656000000</v>
      </c>
      <c r="C6" s="3" t="n">
        <v>5027000000</v>
      </c>
    </row>
    <row r="7">
      <c r="A7" t="inlineStr">
        <is>
          <t>Diluted EPS</t>
        </is>
      </c>
      <c r="B7" s="4" t="n">
        <v>2.42</v>
      </c>
      <c r="C7" s="4" t="n">
        <v>18.5</v>
      </c>
    </row>
    <row r="8">
      <c r="A8" t="inlineStr">
        <is>
          <t>R&amp;D Expense</t>
        </is>
      </c>
      <c r="B8" s="3" t="n">
        <v>554000000</v>
      </c>
      <c r="C8" s="3" t="n">
        <v>2311000000</v>
      </c>
    </row>
    <row r="9">
      <c r="A9" t="inlineStr">
        <is>
          <t>SG&amp;A Expense</t>
        </is>
      </c>
      <c r="B9" s="3" t="n">
        <v>972000000</v>
      </c>
      <c r="C9" s="3" t="n">
        <v>4663000000</v>
      </c>
    </row>
    <row r="11">
      <c r="A11" s="1" t="inlineStr">
        <is>
          <t>Balance Sheet Items (Period End)</t>
        </is>
      </c>
    </row>
    <row r="12">
      <c r="A12" t="inlineStr">
        <is>
          <t>Total Assets</t>
        </is>
      </c>
      <c r="B12" s="3" t="n">
        <v>103436000000</v>
      </c>
      <c r="C12" s="3" t="n">
        <v>105996000000</v>
      </c>
    </row>
    <row r="13">
      <c r="A13" t="inlineStr">
        <is>
          <t>Total Liabilities</t>
        </is>
      </c>
      <c r="B13" s="3" t="n">
        <v>77079000000</v>
      </c>
      <c r="C13" s="3" t="n">
        <v>79989000000</v>
      </c>
    </row>
    <row r="14">
      <c r="A14" t="inlineStr">
        <is>
          <t>Stockholders' Equity</t>
        </is>
      </c>
      <c r="B14" s="3" t="n">
        <v>26300000000</v>
      </c>
      <c r="C14" s="3" t="n">
        <v>25950000000</v>
      </c>
    </row>
    <row r="15">
      <c r="A15" t="inlineStr">
        <is>
          <t>Cash &amp; Cash Equivalents</t>
        </is>
      </c>
      <c r="B15" s="3" t="n">
        <v>6798000000</v>
      </c>
      <c r="C15" s="3" t="n">
        <v>8276000000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Variance Analysis: Q1 FY2026 vs FY2025</t>
        </is>
      </c>
    </row>
    <row r="3">
      <c r="A3" s="2" t="inlineStr">
        <is>
          <t>Metric</t>
        </is>
      </c>
      <c r="B3" s="2" t="inlineStr">
        <is>
          <t>Q1 FY2026</t>
        </is>
      </c>
      <c r="C3" s="2" t="inlineStr">
        <is>
          <t>FY2025</t>
        </is>
      </c>
      <c r="D3" s="2" t="inlineStr">
        <is>
          <t>Absolute Variance</t>
        </is>
      </c>
      <c r="E3" s="2" t="inlineStr">
        <is>
          <t>Q1 as % of FY2025</t>
        </is>
      </c>
      <c r="F3" s="2" t="inlineStr">
        <is>
          <t>Significance</t>
        </is>
      </c>
    </row>
    <row r="4">
      <c r="A4" t="inlineStr">
        <is>
          <t>Income Statement ($ millions)</t>
        </is>
      </c>
    </row>
    <row r="5">
      <c r="A5" t="inlineStr">
        <is>
          <t>Revenue</t>
        </is>
      </c>
      <c r="B5" s="3" t="n">
        <v>9611</v>
      </c>
      <c r="C5" s="3" t="n">
        <v>45684</v>
      </c>
      <c r="D5" s="3">
        <f>B5-C5</f>
        <v/>
      </c>
      <c r="E5" s="5">
        <f>B5/C5</f>
        <v/>
      </c>
      <c r="F5">
        <f>IF(ABS(E5-0.25)&gt;0.05,"High","Normal")</f>
        <v/>
      </c>
    </row>
    <row r="6">
      <c r="A6" t="inlineStr">
        <is>
          <t>Net Income</t>
        </is>
      </c>
      <c r="B6" s="3" t="n">
        <v>656</v>
      </c>
      <c r="C6" s="3" t="n">
        <v>5027</v>
      </c>
      <c r="D6" s="3">
        <f>B6-C6</f>
        <v/>
      </c>
      <c r="E6" s="5">
        <f>B6/C6</f>
        <v/>
      </c>
      <c r="F6">
        <f>IF(ABS(E6-0.25)&gt;0.05,"High","Normal")</f>
        <v/>
      </c>
    </row>
    <row r="7">
      <c r="A7" t="inlineStr">
        <is>
          <t>Diluted EPS</t>
        </is>
      </c>
      <c r="B7" s="4" t="n">
        <v>2.42</v>
      </c>
      <c r="C7" s="4" t="n">
        <v>18.5</v>
      </c>
      <c r="D7" s="4">
        <f>B7-C7</f>
        <v/>
      </c>
      <c r="E7" s="5">
        <f>B7/C7</f>
        <v/>
      </c>
      <c r="F7">
        <f>IF(ABS(E7-0.25)&gt;0.05,"High","Normal")</f>
        <v/>
      </c>
    </row>
    <row r="8">
      <c r="A8" t="inlineStr">
        <is>
          <t>R&amp;D Expense</t>
        </is>
      </c>
      <c r="B8" s="3" t="n">
        <v>554</v>
      </c>
      <c r="C8" s="3" t="n">
        <v>2311</v>
      </c>
      <c r="D8" s="3">
        <f>B8-C8</f>
        <v/>
      </c>
      <c r="E8" s="5">
        <f>B8/C8</f>
        <v/>
      </c>
      <c r="F8">
        <f>IF(ABS(E8-0.25)&gt;0.05,"High","Normal")</f>
        <v/>
      </c>
    </row>
    <row r="9">
      <c r="A9" t="inlineStr">
        <is>
          <t>SG&amp;A Expense</t>
        </is>
      </c>
      <c r="B9" s="3" t="n">
        <v>972</v>
      </c>
      <c r="C9" s="3" t="n">
        <v>4663</v>
      </c>
      <c r="D9" s="3">
        <f>B9-C9</f>
        <v/>
      </c>
      <c r="E9" s="5">
        <f>B9/C9</f>
        <v/>
      </c>
      <c r="F9">
        <f>IF(ABS(E9-0.25)&gt;0.05,"High","Normal")</f>
        <v/>
      </c>
    </row>
    <row r="11">
      <c r="A11" t="inlineStr">
        <is>
          <t>Balance Sheet ($ billions)</t>
        </is>
      </c>
    </row>
    <row r="12">
      <c r="A12" t="inlineStr">
        <is>
          <t>Total Assets</t>
        </is>
      </c>
      <c r="B12" s="6" t="n">
        <v>103.436</v>
      </c>
      <c r="C12" s="6" t="n">
        <v>105.996</v>
      </c>
      <c r="D12" s="6">
        <f>B12-C12</f>
        <v/>
      </c>
      <c r="E12" s="5">
        <f>B12/C12</f>
        <v/>
      </c>
      <c r="F12">
        <f>IF(ABS(E12-1)&gt;0.03,"High","Normal")</f>
        <v/>
      </c>
    </row>
    <row r="13">
      <c r="A13" t="inlineStr">
        <is>
          <t>Total Liabilities</t>
        </is>
      </c>
      <c r="B13" s="6" t="n">
        <v>77.07899999999999</v>
      </c>
      <c r="C13" s="6" t="n">
        <v>79.989</v>
      </c>
      <c r="D13" s="6">
        <f>B13-C13</f>
        <v/>
      </c>
      <c r="E13" s="5">
        <f>B13/C13</f>
        <v/>
      </c>
      <c r="F13">
        <f>IF(ABS(E13-1)&gt;0.03,"High","Normal")</f>
        <v/>
      </c>
    </row>
    <row r="14">
      <c r="A14" t="inlineStr">
        <is>
          <t>Stockholders' Equity</t>
        </is>
      </c>
      <c r="B14" s="6" t="n">
        <v>26.3</v>
      </c>
      <c r="C14" s="6" t="n">
        <v>25.95</v>
      </c>
      <c r="D14" s="6">
        <f>B14-C14</f>
        <v/>
      </c>
      <c r="E14" s="5">
        <f>B14/C14</f>
        <v/>
      </c>
      <c r="F14">
        <f>IF(ABS(E14-1)&gt;0.03,"High","Normal")</f>
        <v/>
      </c>
    </row>
    <row r="15">
      <c r="A15" t="inlineStr">
        <is>
          <t>Cash &amp; Cash Equivalents</t>
        </is>
      </c>
      <c r="B15" s="6" t="n">
        <v>6.798</v>
      </c>
      <c r="C15" s="6" t="n">
        <v>8.276</v>
      </c>
      <c r="D15" s="6">
        <f>B15-C15</f>
        <v/>
      </c>
      <c r="E15" s="5">
        <f>B15/C15</f>
        <v/>
      </c>
      <c r="F15">
        <f>IF(ABS(E15-1)&gt;0.03,"High","Normal")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Variance Analysis Summary - Deere &amp; Co (DE)</t>
        </is>
      </c>
    </row>
    <row r="3">
      <c r="A3" s="1" t="inlineStr">
        <is>
          <t>Key Observations</t>
        </is>
      </c>
    </row>
    <row r="4">
      <c r="A4" t="inlineStr">
        <is>
          <t>1. Revenue Run-Rate: Q1 FY2026 revenue of $9.61B represents approximately 21.0% of FY2025 annual revenue ($45.68B), indicating a pace slightly below a linear quarterly run-rate of 25%. This suggests potential seasonality or demand softness.</t>
        </is>
      </c>
    </row>
    <row r="6">
      <c r="A6" t="inlineStr">
        <is>
          <t>2. Profitability Compression: Q1 net income of $656M is only 13.0% of FY2025 net income ($5.03B). This is a significantly lower percentage than revenue run-rate, pointing to margin pressure from cost structures.</t>
        </is>
      </c>
    </row>
    <row r="8">
      <c r="A8" t="inlineStr">
        <is>
          <t>3. EPS Impact: Diluted EPS of $2.42 in Q1 versus $18.50 for FY2025 (13.1% run-rate) mirrors the net income pattern, confirming the profitability decline is per-share as well.</t>
        </is>
      </c>
    </row>
    <row r="10">
      <c r="A10" t="inlineStr">
        <is>
          <t>4. Cost Management: R&amp;D expense at $554M (Q1) vs $2.31B (FY2025) is 24.0% of annual, close to linear run-rate. SG&amp;A at $972M (Q1) vs $4.66B (FY2025) is 20.8% of annual.</t>
        </is>
      </c>
    </row>
    <row r="12">
      <c r="A12" t="inlineStr">
        <is>
          <t>5. Balance Sheet: Total assets decreased from $105.996B to $103.436B (-2.4%), liabilities decreased from $79.989B to $77.079B (-3.6%), resulting in equity increasing from $25.95B to $26.3B (+1.4%). Cash declined from $8.276B to $6.798B (-17.9%), a notable decrease.</t>
        </is>
      </c>
    </row>
    <row r="14">
      <c r="A14" t="inlineStr">
        <is>
          <t>6. Largest Absolute Variance: The largest absolute variance in income statement items is Revenue with a difference of -$36,073M between Q1 and FY2025 annual.</t>
        </is>
      </c>
    </row>
    <row r="16">
      <c r="A16" t="inlineStr">
        <is>
          <t>Conclusion: Q1 FY2026 shows a revenue run-rate below linear expectations and significant profitability compression relative to revenue. The balance sheet shows modest strengthening in equity but a material decline in cash reserves. Cost discipline appears maintained in R&amp;D and SG&amp;A relative to their annual run-rates.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2026-05-13T16:15:55Z</dcterms:created>
  <dcterms:modified xmlns:dcterms="http://purl.org/dc/terms/" xmlns:xsi="http://www.w3.org/2001/XMLSchema-instance" xsi:type="dcterms:W3CDTF">2026-05-13T16:15:55Z</dcterms:modified>
</cp:coreProperties>
</file>